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6e63460d894c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" sheetId="1" r:id="R6776791287bb44e5"/>
    <x:sheet xmlns:r="http://schemas.openxmlformats.org/officeDocument/2006/relationships" name="Bug report" sheetId="2" r:id="Rec02078176b94b63"/>
    <x:sheet xmlns:r="http://schemas.openxmlformats.org/officeDocument/2006/relationships" name="Execution Report" sheetId="3" r:id="Raac239ea535849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C00000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642ee059a949e3" /><Relationship Type="http://schemas.openxmlformats.org/officeDocument/2006/relationships/theme" Target="/xl/theme/theme1.xml" Id="Rc775ea4f89354886" /><Relationship Type="http://schemas.openxmlformats.org/officeDocument/2006/relationships/sharedStrings" Target="/xl/sharedStrings.xml" Id="Rfb71d02f57a040b2" /><Relationship Type="http://schemas.openxmlformats.org/officeDocument/2006/relationships/worksheet" Target="/xl/worksheets/sheet1.xml" Id="R6776791287bb44e5" /><Relationship Type="http://schemas.openxmlformats.org/officeDocument/2006/relationships/worksheet" Target="/xl/worksheets/sheet2.xml" Id="Rec02078176b94b63" /><Relationship Type="http://schemas.openxmlformats.org/officeDocument/2006/relationships/worksheet" Target="/xl/worksheets/sheet3.xml" Id="Raac239ea535849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36" hidden="0" customWidth="1"/>
    <x:col min="5" max="5" width="28" hidden="0" customWidth="1"/>
    <x:col min="6" max="6" width="42" hidden="0" customWidth="1"/>
    <x:col min="7" max="7" width="18" hidden="0" customWidth="1"/>
    <x:col min="8" max="8" width="42" hidden="0" customWidth="1"/>
    <x:col min="9" max="9" width="14" hidden="0" customWidth="1"/>
    <x:col min="10" max="10" width="14" hidden="0" customWidth="1"/>
    <x:col min="11" max="11" width="46" hidden="0" customWidth="1"/>
  </x:cols>
  <x:sheetData>
    <x:row r="1" ht="24" customHeight="1">
      <x:c r="A1" s="12" t="str">
        <x:v>TEST CASE - KDS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</x:row>
    <x:row r="2">
      <x:c r="A2" s="13" t="str">
        <x:v>Module Code</x:v>
      </x:c>
      <x:c r="B2" s="13"/>
      <x:c r="C2" s="13" t="str">
        <x:v>KDS</x:v>
      </x:c>
      <x:c r="D2" s="13"/>
      <x:c r="E2" s="13"/>
      <x:c r="F2" s="13"/>
      <x:c r="G2" s="13"/>
      <x:c r="H2" s="13"/>
      <x:c r="I2" s="13"/>
      <x:c r="J2" s="13"/>
      <x:c r="K2" s="13"/>
    </x:row>
    <x:row r="3">
      <x:c r="A3" s="13" t="str">
        <x:v>Test requirement</x:v>
      </x:c>
      <x:c r="B3" s="13"/>
      <x:c r="C3" s="13" t="str">
        <x:v>As a tester, I want to verify the KDS feature against the current POS system requirements.</x:v>
      </x:c>
      <x:c r="D3" s="13"/>
      <x:c r="E3" s="13"/>
      <x:c r="F3" s="13"/>
      <x:c r="G3" s="13"/>
      <x:c r="H3" s="13"/>
      <x:c r="I3" s="13"/>
      <x:c r="J3" s="13"/>
      <x:c r="K3" s="13"/>
    </x:row>
    <x:row r="4">
      <x:c r="A4" s="13" t="str">
        <x:v>Tester</x:v>
      </x:c>
      <x:c r="B4" s="13"/>
      <x:c r="C4" s="13" t="str"/>
      <x:c r="D4" s="13"/>
      <x:c r="E4" s="13"/>
      <x:c r="F4" s="13"/>
      <x:c r="G4" s="13"/>
      <x:c r="H4" s="13"/>
      <x:c r="I4" s="13"/>
      <x:c r="J4" s="13"/>
      <x:c r="K4" s="13"/>
    </x:row>
    <x:row r="5">
      <x:c r="A5" s="14" t="str">
        <x:v>Passed</x:v>
      </x:c>
      <x:c r="B5" s="14" t="str">
        <x:v>Failed</x:v>
      </x:c>
      <x:c r="C5" s="14" t="str">
        <x:v>N/A</x:v>
      </x:c>
      <x:c r="D5" s="14" t="str">
        <x:v>Not yet</x:v>
      </x:c>
      <x:c r="E5" s="14" t="str">
        <x:v>Number of Test cases</x:v>
      </x:c>
      <x:c r="F5" s="13"/>
      <x:c r="G5" s="13"/>
      <x:c r="H5" s="13"/>
      <x:c r="I5" s="13"/>
      <x:c r="J5" s="13"/>
      <x:c r="K5" s="13"/>
    </x:row>
    <x:row r="6">
      <x:c r="A6" s="13" t="n">
        <x:f>COUNTIF(I10:I1000,"Passed")</x:f>
        <x:v>13</x:v>
      </x:c>
      <x:c r="B6" s="13" t="n">
        <x:f>COUNTIF(I10:I1000,"Failed")</x:f>
        <x:v>0</x:v>
      </x:c>
      <x:c r="C6" s="13" t="n">
        <x:f>COUNTIF(I10:I1000,"N/A")</x:f>
        <x:v>0</x:v>
      </x:c>
      <x:c r="D6" s="13" t="n">
        <x:f>COUNTIF(I10:I1000,"Not yet")</x:f>
        <x:v>0</x:v>
      </x:c>
      <x:c r="E6" s="13" t="n">
        <x:f>COUNTA(A10:A1000)</x:f>
        <x:v>13</x:v>
      </x:c>
      <x:c r="F6" s="13"/>
      <x:c r="G6" s="13"/>
      <x:c r="H6" s="13"/>
      <x:c r="I6" s="13"/>
      <x:c r="J6" s="13"/>
      <x:c r="K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</x:row>
    <x:row r="9">
      <x:c r="A9" s="15" t="str">
        <x:v>ID</x:v>
      </x:c>
      <x:c r="B9" s="15" t="str">
        <x:v>Group Name</x:v>
      </x:c>
      <x:c r="C9" s="15" t="str">
        <x:v>Sub group</x:v>
      </x:c>
      <x:c r="D9" s="15" t="str">
        <x:v>Test Case Description</x:v>
      </x:c>
      <x:c r="E9" s="15" t="str">
        <x:v>Precondition</x:v>
      </x:c>
      <x:c r="F9" s="15" t="str">
        <x:v>Test Case Procedure</x:v>
      </x:c>
      <x:c r="G9" s="15" t="str">
        <x:v>Test data</x:v>
      </x:c>
      <x:c r="H9" s="15" t="str">
        <x:v>Expected Output</x:v>
      </x:c>
      <x:c r="I9" s="15" t="str">
        <x:v>Desktop </x:v>
      </x:c>
      <x:c r="J9" s="15" t="str">
        <x:v>Mobile</x:v>
      </x:c>
      <x:c r="K9" s="15" t="str">
        <x:v>Note</x:v>
      </x:c>
    </x:row>
    <x:row r="10">
      <x:c r="A10" s="13" t="str">
        <x:v>KDS-01</x:v>
      </x:c>
      <x:c r="B10" s="13" t="str">
        <x:v>KDS</x:v>
      </x:c>
      <x:c r="C10" s="13" t="str">
        <x:v>Functional</x:v>
      </x:c>
      <x:c r="D10" s="13" t="str">
        <x:v>Staff mo trang KDS</x:v>
      </x:c>
      <x:c r="E10" s="13" t="str">
        <x:v>UI: /staff/kds
APIs: GET /api/kds/orders, PATCH /api/kds/orders/:id/complete
Coverage mix: Functional, Integration, Concurrency-safe behavior, Security</x:v>
      </x:c>
      <x:c r="F10" s="13" t="str">
        <x:v>1. Prepare required account/data for KDS.
2. Execute scenario: Staff mo trang KDS.
3. Verify the result against expected output.</x:v>
      </x:c>
      <x:c r="G10" s="13" t="str"/>
      <x:c r="H10" s="13" t="str">
        <x:v>Load 2 nhom newOrders va completedOrders</x:v>
      </x:c>
      <x:c r="I10" s="13" t="str">
        <x:v>Passed</x:v>
      </x:c>
      <x:c r="J10" s="13" t="str"/>
      <x:c r="K10" s="13" t="str">
        <x:v>UI layouts and page redirects verified.
Execution status: Passed (UI Checked)</x:v>
      </x:c>
    </x:row>
    <x:row r="11">
      <x:c r="A11" s="13" t="str">
        <x:v>KDS-02</x:v>
      </x:c>
      <x:c r="B11" s="13" t="str">
        <x:v>KDS</x:v>
      </x:c>
      <x:c r="C11" s="13" t="str">
        <x:v>Integration</x:v>
      </x:c>
      <x:c r="D11" s="13" t="str">
        <x:v>Order POS thanh cong moi tao</x:v>
      </x:c>
      <x:c r="E11" s="13" t="str">
        <x:v>UI: /staff/kds
APIs: GET /api/kds/orders, PATCH /api/kds/orders/:id/complete
Coverage mix: Functional, Integration, Concurrency-safe behavior, Security</x:v>
      </x:c>
      <x:c r="F11" s="13" t="str">
        <x:v>1. Prepare required account/data for KDS.
2. Execute scenario: Order POS thanh cong moi tao.
3. Verify the result against expected output.</x:v>
      </x:c>
      <x:c r="G11" s="13" t="str"/>
      <x:c r="H11" s="13" t="str">
        <x:v>Order moi xuat hien o nhom NEW voi item, note, order code dung</x:v>
      </x:c>
      <x:c r="I11" s="13" t="str">
        <x:v>Passed</x:v>
      </x:c>
      <x:c r="J11" s="13" t="str"/>
      <x:c r="K11" s="13" t="str">
        <x:v>UI layouts and page redirects verified.
Execution status: Passed (UI Checked)</x:v>
      </x:c>
    </x:row>
    <x:row r="12">
      <x:c r="A12" s="13" t="str">
        <x:v>KDS-03</x:v>
      </x:c>
      <x:c r="B12" s="13" t="str">
        <x:v>KDS</x:v>
      </x:c>
      <x:c r="C12" s="13" t="str">
        <x:v>Functional</x:v>
      </x:c>
      <x:c r="D12" s="13" t="str">
        <x:v>Mark complete cho order NEW</x:v>
      </x:c>
      <x:c r="E12" s="13" t="str">
        <x:v>UI: /staff/kds
APIs: GET /api/kds/orders, PATCH /api/kds/orders/:id/complete
Coverage mix: Functional, Integration, Concurrency-safe behavior, Security</x:v>
      </x:c>
      <x:c r="F12" s="13" t="str">
        <x:v>1. Prepare required account/data for KDS.
2. Execute scenario: Mark complete cho order NEW.
3. Verify the result against expected output.</x:v>
      </x:c>
      <x:c r="G12" s="13" t="str"/>
      <x:c r="H12" s="13" t="str">
        <x:v>Order chuyen tu Don moi sang Da hoan thanh</x:v>
      </x:c>
      <x:c r="I12" s="13" t="str">
        <x:v>Passed</x:v>
      </x:c>
      <x:c r="J12" s="13" t="str"/>
      <x:c r="K12" s="13" t="str">
        <x:v>Functional scenario validated and matching expected behavior.</x:v>
      </x:c>
    </x:row>
    <x:row r="13">
      <x:c r="A13" s="13" t="str">
        <x:v>KDS-04</x:v>
      </x:c>
      <x:c r="B13" s="13" t="str">
        <x:v>KDS</x:v>
      </x:c>
      <x:c r="C13" s="13" t="str">
        <x:v>Negative</x:v>
      </x:c>
      <x:c r="D13" s="13" t="str">
        <x:v>Complete lai order da COMPLETED</x:v>
      </x:c>
      <x:c r="E13" s="13" t="str">
        <x:v>UI: /staff/kds
APIs: GET /api/kds/orders, PATCH /api/kds/orders/:id/complete
Coverage mix: Functional, Integration, Concurrency-safe behavior, Security</x:v>
      </x:c>
      <x:c r="F13" s="13" t="str">
        <x:v>1. Prepare required account/data for KDS.
2. Execute scenario: Complete lai order da COMPLETED.
3. Verify the result against expected output.</x:v>
      </x:c>
      <x:c r="G13" s="13" t="str"/>
      <x:c r="H13" s="13" t="str">
        <x:v>Backend tra 409, UI khong dup order</x:v>
      </x:c>
      <x:c r="I13" s="13" t="str">
        <x:v>Passed</x:v>
      </x:c>
      <x:c r="J13" s="13" t="str"/>
      <x:c r="K13" s="13" t="str">
        <x:v>Functional scenario validated and matching expected behavior.</x:v>
      </x:c>
    </x:row>
    <x:row r="14">
      <x:c r="A14" s="13" t="str">
        <x:v>KDS-05</x:v>
      </x:c>
      <x:c r="B14" s="13" t="str">
        <x:v>KDS</x:v>
      </x:c>
      <x:c r="C14" s="13" t="str">
        <x:v>Business rule</x:v>
      </x:c>
      <x:c r="D14" s="13" t="str">
        <x:v>Chi order SUCCESS moi di vao KDS</x:v>
      </x:c>
      <x:c r="E14" s="13" t="str">
        <x:v>UI: /staff/kds
APIs: GET /api/kds/orders, PATCH /api/kds/orders/:id/complete
Coverage mix: Functional, Integration, Concurrency-safe behavior, Security</x:v>
      </x:c>
      <x:c r="F14" s="13" t="str">
        <x:v>1. Prepare required account/data for KDS.
2. Execute scenario: Chi order SUCCESS moi di vao KDS.
3. Verify the result against expected output.</x:v>
      </x:c>
      <x:c r="G14" s="13" t="str"/>
      <x:c r="H14" s="13" t="str">
        <x:v>Du lieu KDS khong lay order khong hop le</x:v>
      </x:c>
      <x:c r="I14" s="13" t="str">
        <x:v>Passed</x:v>
      </x:c>
      <x:c r="J14" s="13" t="str"/>
      <x:c r="K14" s="13" t="str">
        <x:v>UI layouts and page redirects verified.
Execution status: Passed (UI Checked)</x:v>
      </x:c>
    </x:row>
    <x:row r="15">
      <x:c r="A15" s="13" t="str">
        <x:v>KDS-06</x:v>
      </x:c>
      <x:c r="B15" s="13" t="str">
        <x:v>KDS</x:v>
      </x:c>
      <x:c r="C15" s="13" t="str">
        <x:v>Functional</x:v>
      </x:c>
      <x:c r="D15" s="13" t="str">
        <x:v>Manual refresh va auto-refresh</x:v>
      </x:c>
      <x:c r="E15" s="13" t="str">
        <x:v>UI: /staff/kds
APIs: GET /api/kds/orders, PATCH /api/kds/orders/:id/complete
Coverage mix: Functional, Integration, Concurrency-safe behavior, Security</x:v>
      </x:c>
      <x:c r="F15" s="13" t="str">
        <x:v>1. Prepare required account/data for KDS.
2. Execute scenario: Manual refresh va auto-refresh.
3. Verify the result against expected output.</x:v>
      </x:c>
      <x:c r="G15" s="13" t="str"/>
      <x:c r="H15" s="13" t="str">
        <x:v>Danh sach duoc cap nhat ma khong mat tinh nhat quan</x:v>
      </x:c>
      <x:c r="I15" s="13" t="str">
        <x:v>Passed</x:v>
      </x:c>
      <x:c r="J15" s="13" t="str"/>
      <x:c r="K15" s="13" t="str">
        <x:v>Functional scenario validated and matching expected behavior.</x:v>
      </x:c>
    </x:row>
    <x:row r="16">
      <x:c r="A16" s="13" t="str">
        <x:v>KDS-07</x:v>
      </x:c>
      <x:c r="B16" s="13" t="str">
        <x:v>KDS</x:v>
      </x:c>
      <x:c r="C16" s="13" t="str">
        <x:v>Security</x:v>
      </x:c>
      <x:c r="D16" s="13" t="str">
        <x:v>User khong phai STAFF goi API KDS</x:v>
      </x:c>
      <x:c r="E16" s="13" t="str">
        <x:v>UI: /staff/kds
APIs: GET /api/kds/orders, PATCH /api/kds/orders/:id/complete
Coverage mix: Functional, Integration, Concurrency-safe behavior, Security</x:v>
      </x:c>
      <x:c r="F16" s="13" t="str">
        <x:v>1. Prepare required account/data for KDS.
2. Execute scenario: User khong phai STAFF goi API KDS.
3. Verify the result against expected output.</x:v>
      </x:c>
      <x:c r="G16" s="13" t="str"/>
      <x:c r="H16" s="13" t="str">
        <x:v>Bi chan boi backend</x:v>
      </x:c>
      <x:c r="I16" s="13" t="str">
        <x:v>Passed</x:v>
      </x:c>
      <x:c r="J16" s="13" t="str"/>
      <x:c r="K16" s="13" t="str">
        <x:v>Protected API authorization validated successfully.</x:v>
      </x:c>
    </x:row>
    <x:row r="17">
      <x:c r="A17" s="13" t="str">
        <x:v>KDS-08</x:v>
      </x:c>
      <x:c r="B17" s="13" t="str">
        <x:v>KDS</x:v>
      </x:c>
      <x:c r="C17" s="13" t="str">
        <x:v>Regression</x:v>
      </x:c>
      <x:c r="D17" s="13" t="str">
        <x:v>Sau khi complete KDS, order detail/history phan staff hien kdsStatus va kdsCompletedAt dung</x:v>
      </x:c>
      <x:c r="E17" s="13" t="str">
        <x:v>UI: /staff/kds
APIs: GET /api/kds/orders, PATCH /api/kds/orders/:id/complete
Coverage mix: Functional, Integration, Concurrency-safe behavior, Security</x:v>
      </x:c>
      <x:c r="F17" s="13" t="str">
        <x:v>1. Prepare required account/data for KDS.
2. Execute scenario: Sau khi complete KDS, order detail/history phan staff hien kdsStatus va kdsCompletedAt dung.
3. Verify the result against expected output.</x:v>
      </x:c>
      <x:c r="G17" s="13" t="str"/>
      <x:c r="H17" s="13" t="str">
        <x:v>Du lieu giua KDS va Order khop nhau</x:v>
      </x:c>
      <x:c r="I17" s="13" t="str">
        <x:v>Passed</x:v>
      </x:c>
      <x:c r="J17" s="13" t="str"/>
      <x:c r="K17" s="13" t="str">
        <x:v>UI layouts and page redirects verified.
Execution status: Passed (UI Checked)</x:v>
      </x:c>
    </x:row>
    <x:row r="18">
      <x:c r="A18" s="13" t="str">
        <x:v>KDS-09</x:v>
      </x:c>
      <x:c r="B18" s="13" t="str">
        <x:v>KDS</x:v>
      </x:c>
      <x:c r="C18" s="13" t="str">
        <x:v>Empty state</x:v>
      </x:c>
      <x:c r="D18" s="13" t="str">
        <x:v>Khong co don moi va khong co don da hoan thanh</x:v>
      </x:c>
      <x:c r="E18" s="13" t="str">
        <x:v>UI: /staff/kds
APIs: GET /api/kds/orders, PATCH /api/kds/orders/:id/complete
Coverage mix: Functional, Integration, Concurrency-safe behavior, Security</x:v>
      </x:c>
      <x:c r="F18" s="13" t="str">
        <x:v>1. Prepare required account/data for KDS.
2. Execute scenario: Khong co don moi va khong co don da hoan thanh.
3. Verify the result against expected output.</x:v>
      </x:c>
      <x:c r="G18" s="13" t="str"/>
      <x:c r="H18" s="13" t="str">
        <x:v>UI hien empty state o ca 2 tab/nhom</x:v>
      </x:c>
      <x:c r="I18" s="13" t="str">
        <x:v>Passed</x:v>
      </x:c>
      <x:c r="J18" s="13" t="str"/>
      <x:c r="K18" s="13" t="str">
        <x:v>UI layouts and page redirects verified.
Execution status: Passed (UI Checked)</x:v>
      </x:c>
    </x:row>
    <x:row r="19">
      <x:c r="A19" s="13" t="str">
        <x:v>KDS-10</x:v>
      </x:c>
      <x:c r="B19" s="13" t="str">
        <x:v>KDS</x:v>
      </x:c>
      <x:c r="C19" s="13" t="str">
        <x:v>Functional</x:v>
      </x:c>
      <x:c r="D19" s="13" t="str">
        <x:v>Don da hoan thanh khong con nut Hoan thanh</x:v>
      </x:c>
      <x:c r="E19" s="13" t="str">
        <x:v>UI: /staff/kds
APIs: GET /api/kds/orders, PATCH /api/kds/orders/:id/complete
Coverage mix: Functional, Integration, Concurrency-safe behavior, Security</x:v>
      </x:c>
      <x:c r="F19" s="13" t="str">
        <x:v>1. Prepare required account/data for KDS.
2. Execute scenario: Don da hoan thanh khong con nut Hoan thanh.
3. Verify the result against expected output.</x:v>
      </x:c>
      <x:c r="G19" s="13" t="str"/>
      <x:c r="H19" s="13" t="str">
        <x:v>UI ngan thao tac lap lai</x:v>
      </x:c>
      <x:c r="I19" s="13" t="str">
        <x:v>Passed</x:v>
      </x:c>
      <x:c r="J19" s="13" t="str"/>
      <x:c r="K19" s="13" t="str">
        <x:v>Functional scenario validated and matching expected behavior.</x:v>
      </x:c>
    </x:row>
    <x:row r="20">
      <x:c r="A20" s="13" t="str">
        <x:v>KDS-11</x:v>
      </x:c>
      <x:c r="B20" s="13" t="str">
        <x:v>KDS</x:v>
      </x:c>
      <x:c r="C20" s="13" t="str">
        <x:v>Concurrency</x:v>
      </x:c>
      <x:c r="D20" s="13" t="str">
        <x:v>2 staff cung bam complete 1 order gan nhu dong thoi</x:v>
      </x:c>
      <x:c r="E20" s="13" t="str">
        <x:v>UI: /staff/kds
APIs: GET /api/kds/orders, PATCH /api/kds/orders/:id/complete
Coverage mix: Functional, Integration, Concurrency-safe behavior, Security</x:v>
      </x:c>
      <x:c r="F20" s="13" t="str">
        <x:v>1. Prepare required account/data for KDS.
2. Execute scenario: 2 staff cung bam complete 1 order gan nhu dong thoi.
3. Verify the result against expected output.</x:v>
      </x:c>
      <x:c r="G20" s="13" t="str"/>
      <x:c r="H20" s="13" t="str">
        <x:v>Chi 1 request thanh cong, request con lai bi tu choi an toan</x:v>
      </x:c>
      <x:c r="I20" s="13" t="str">
        <x:v>Passed</x:v>
      </x:c>
      <x:c r="J20" s="13" t="str"/>
      <x:c r="K20" s="13" t="str">
        <x:v>Functional scenario validated and matching expected behavior.</x:v>
      </x:c>
    </x:row>
    <x:row r="21">
      <x:c r="A21" s="13" t="str">
        <x:v>KDS-12</x:v>
      </x:c>
      <x:c r="B21" s="13" t="str">
        <x:v>KDS</x:v>
      </x:c>
      <x:c r="C21" s="13" t="str">
        <x:v>Data integrity</x:v>
      </x:c>
      <x:c r="D21" s="13" t="str">
        <x:v>Order o nhom completed hien dung completedAt/completedBy neu UI co render</x:v>
      </x:c>
      <x:c r="E21" s="13" t="str">
        <x:v>UI: /staff/kds
APIs: GET /api/kds/orders, PATCH /api/kds/orders/:id/complete
Coverage mix: Functional, Integration, Concurrency-safe behavior, Security</x:v>
      </x:c>
      <x:c r="F21" s="13" t="str">
        <x:v>1. Prepare required account/data for KDS.
2. Execute scenario: Order o nhom completed hien dung completedAt/completedBy neu UI co render.
3. Verify the result against expected output.</x:v>
      </x:c>
      <x:c r="G21" s="13" t="str"/>
      <x:c r="H21" s="13" t="str">
        <x:v>Metadata bep khop voi backend</x:v>
      </x:c>
      <x:c r="I21" s="13" t="str">
        <x:v>Passed</x:v>
      </x:c>
      <x:c r="J21" s="13" t="str"/>
      <x:c r="K21" s="13" t="str">
        <x:v>UI layouts and page redirects verified.
Execution status: Passed (UI Checked)</x:v>
      </x:c>
    </x:row>
    <x:row r="22">
      <x:c r="A22" s="13" t="str">
        <x:v>KDS-13</x:v>
      </x:c>
      <x:c r="B22" s="13" t="str">
        <x:v>KDS</x:v>
      </x:c>
      <x:c r="C22" s="13" t="str">
        <x:v>Integration</x:v>
      </x:c>
      <x:c r="D22" s="13" t="str">
        <x:v>Sau khi refresh, don da complete khong quay lai nhom NEW</x:v>
      </x:c>
      <x:c r="E22" s="13" t="str">
        <x:v>UI: /staff/kds
APIs: GET /api/kds/orders, PATCH /api/kds/orders/:id/complete
Coverage mix: Functional, Integration, Concurrency-safe behavior, Security</x:v>
      </x:c>
      <x:c r="F22" s="13" t="str">
        <x:v>1. Prepare required account/data for KDS.
2. Execute scenario: Sau khi refresh, don da complete khong quay lai nhom NEW.
3. Verify the result against expected output.</x:v>
      </x:c>
      <x:c r="G22" s="13" t="str"/>
      <x:c r="H22" s="13" t="str">
        <x:v>Trang thai KDS ben vung</x:v>
      </x:c>
      <x:c r="I22" s="13" t="str">
        <x:v>Passed</x:v>
      </x:c>
      <x:c r="J22" s="13" t="str"/>
      <x:c r="K22" s="13" t="str">
        <x:v>Functional scenario validated and matching expected behavior.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38" hidden="0" customWidth="1"/>
    <x:col min="4" max="4" width="28" hidden="0" customWidth="1"/>
    <x:col min="5" max="5" width="42" hidden="0" customWidth="1"/>
    <x:col min="6" max="6" width="18" hidden="0" customWidth="1"/>
    <x:col min="7" max="7" width="38" hidden="0" customWidth="1"/>
    <x:col min="8" max="8" width="38" hidden="0" customWidth="1"/>
    <x:col min="9" max="9" width="24" hidden="0" customWidth="1"/>
    <x:col min="10" max="10" width="12" hidden="0" customWidth="1"/>
    <x:col min="11" max="11" width="32" hidden="0" customWidth="1"/>
    <x:col min="12" max="12" width="14" hidden="0" customWidth="1"/>
  </x:cols>
  <x:sheetData>
    <x:row r="1" ht="24" customHeight="1">
      <x:c r="A1" s="12" t="str">
        <x:v>BUG REPORT - KDS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</x:row>
    <x:row r="2">
      <x:c r="A2" s="28" t="str">
        <x:v>Rejected</x:v>
      </x:c>
      <x:c r="B2" s="28" t="str">
        <x:v>Deferred</x:v>
      </x:c>
      <x:c r="C2" s="28" t="str">
        <x:v>Re-opened</x:v>
      </x:c>
      <x:c r="D2" s="28" t="str">
        <x:v>Closed</x:v>
      </x:c>
      <x:c r="E2" s="28" t="str">
        <x:v>Not yet</x:v>
      </x:c>
      <x:c r="F2" s="28" t="str">
        <x:v>Number of bugs</x:v>
      </x:c>
      <x:c r="G2" s="13"/>
      <x:c r="H2" s="13"/>
      <x:c r="I2" s="13"/>
      <x:c r="J2" s="13"/>
      <x:c r="K2" s="13"/>
      <x:c r="L2" s="13"/>
    </x:row>
    <x:row r="3">
      <x:c r="A3" s="13" t="n">
        <x:f>COUNTIF(L6:L1000,"Rejected")</x:f>
        <x:v>0</x:v>
      </x:c>
      <x:c r="B3" s="13" t="n">
        <x:f>COUNTIF(L6:L1000,"Deferred")</x:f>
        <x:v>0</x:v>
      </x:c>
      <x:c r="C3" s="13" t="n">
        <x:f>COUNTIF(L6:L1000,"Re-opened")</x:f>
        <x:v>0</x:v>
      </x:c>
      <x:c r="D3" s="13" t="n">
        <x:f>COUNTIF(L6:L1000,"Closed")</x:f>
        <x:v>0</x:v>
      </x:c>
      <x:c r="E3" s="13" t="n">
        <x:f>COUNTIF(L6:L1000,"Not yet")</x:f>
        <x:v>0</x:v>
      </x:c>
      <x:c r="F3" s="13" t="n">
        <x:f>COUNTIF(B6:B1000,"BUG-*")</x:f>
        <x:v>0</x:v>
      </x:c>
      <x:c r="G3" s="13"/>
      <x:c r="H3" s="13"/>
      <x:c r="I3" s="13"/>
      <x:c r="J3" s="13"/>
      <x:c r="K3" s="13"/>
      <x:c r="L3" s="13"/>
    </x:row>
    <x:row r="4">
      <x:c r="A4" s="13" t="str">
        <x:v>Source report date: 7/5/2026, 12:10:07 PM. Failed cases are converted into bug rows.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5">
      <x:c r="A5" s="29" t="str">
        <x:v>No</x:v>
      </x:c>
      <x:c r="B5" s="29" t="str">
        <x:v>BugID</x:v>
      </x:c>
      <x:c r="C5" s="29" t="str">
        <x:v>Title</x:v>
      </x:c>
      <x:c r="D5" s="29" t="str">
        <x:v>Preconditions</x:v>
      </x:c>
      <x:c r="E5" s="29" t="str">
        <x:v>Steps</x:v>
      </x:c>
      <x:c r="F5" s="29" t="str">
        <x:v>Data</x:v>
      </x:c>
      <x:c r="G5" s="29" t="str">
        <x:v>Expected result</x:v>
      </x:c>
      <x:c r="H5" s="29" t="str">
        <x:v>Actual result</x:v>
      </x:c>
      <x:c r="I5" s="29" t="str">
        <x:v>Environment</x:v>
      </x:c>
      <x:c r="J5" s="29" t="str">
        <x:v>Priority </x:v>
      </x:c>
      <x:c r="K5" s="29" t="str">
        <x:v>Note </x:v>
      </x:c>
      <x:c r="L5" s="29" t="str">
        <x:v>Status</x:v>
      </x:c>
    </x:row>
    <x:row r="6">
      <x:c r="A6" s="13"/>
      <x:c r="B6" s="13"/>
      <x:c r="C6" s="13" t="str">
        <x:v>No failed test cases in the provided execution report.</x:v>
      </x:c>
      <x:c r="D6" s="13"/>
      <x:c r="E6" s="13"/>
      <x:c r="F6" s="13"/>
      <x:c r="G6" s="13"/>
      <x:c r="H6" s="13"/>
      <x:c r="I6" s="13"/>
      <x:c r="J6" s="13"/>
      <x:c r="K6" s="13"/>
      <x:c r="L6" s="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42" hidden="0" customWidth="1"/>
    <x:col min="5" max="5" width="20" hidden="0" customWidth="1"/>
    <x:col min="6" max="6" width="52" hidden="0" customWidth="1"/>
  </x:cols>
  <x:sheetData>
    <x:row r="1" ht="24" customHeight="1">
      <x:c r="A1" s="12" t="str">
        <x:v>EXECUTION REPORT - KDS</x:v>
      </x:c>
      <x:c r="B1" s="12"/>
      <x:c r="C1" s="12"/>
      <x:c r="D1" s="12"/>
      <x:c r="E1" s="12"/>
      <x:c r="F1" s="12"/>
    </x:row>
    <x:row r="2">
      <x:c r="A2" s="13"/>
      <x:c r="B2" s="13"/>
      <x:c r="C2" s="13"/>
      <x:c r="D2" s="13"/>
      <x:c r="E2" s="13"/>
      <x:c r="F2" s="13"/>
    </x:row>
    <x:row r="3">
      <x:c r="A3" s="13" t="str">
        <x:v>Date</x:v>
      </x:c>
      <x:c r="B3" s="13" t="str">
        <x:v>7/5/2026, 12:10:07 PM</x:v>
      </x:c>
      <x:c r="C3" s="13"/>
      <x:c r="D3" s="13"/>
      <x:c r="E3" s="13"/>
      <x:c r="F3" s="13"/>
    </x:row>
    <x:row r="4">
      <x:c r="A4" s="13" t="str">
        <x:v>Total / Passed / Failed / Skipped</x:v>
      </x:c>
      <x:c r="B4" s="13" t="str">
        <x:v>13 / 13 / 0 / 0</x:v>
      </x:c>
      <x:c r="C4" s="13"/>
      <x:c r="D4" s="13"/>
      <x:c r="E4" s="13"/>
      <x:c r="F4" s="13"/>
    </x:row>
    <x:row r="5">
      <x:c r="A5" s="13" t="str">
        <x:v>Source file</x:v>
      </x:c>
      <x:c r="B5" s="13" t="str">
        <x:v>11-kds-report.md</x:v>
      </x:c>
      <x:c r="C5" s="13"/>
      <x:c r="D5" s="13"/>
      <x:c r="E5" s="13"/>
      <x:c r="F5" s="13"/>
    </x:row>
    <x:row r="6">
      <x:c r="A6" s="15" t="str">
        <x:v>ID</x:v>
      </x:c>
      <x:c r="B6" s="15" t="str">
        <x:v>Type</x:v>
      </x:c>
      <x:c r="C6" s="15" t="str">
        <x:v>Scenario</x:v>
      </x:c>
      <x:c r="D6" s="15" t="str">
        <x:v>Expected Result</x:v>
      </x:c>
      <x:c r="E6" s="15" t="str">
        <x:v>Status</x:v>
      </x:c>
      <x:c r="F6" s="15" t="str">
        <x:v>Notes</x:v>
      </x:c>
    </x:row>
    <x:row r="7">
      <x:c r="A7" s="13" t="str">
        <x:v>KDS-01</x:v>
      </x:c>
      <x:c r="B7" s="13" t="str">
        <x:v>Functional</x:v>
      </x:c>
      <x:c r="C7" s="13" t="str">
        <x:v>Staff mo trang KDS</x:v>
      </x:c>
      <x:c r="D7" s="13" t="str">
        <x:v>Load 2 nhom newOrders va completedOrders</x:v>
      </x:c>
      <x:c r="E7" s="13" t="str">
        <x:v>Passed (UI Checked)</x:v>
      </x:c>
      <x:c r="F7" s="13" t="str">
        <x:v>UI layouts and page redirects verified.</x:v>
      </x:c>
    </x:row>
    <x:row r="8">
      <x:c r="A8" s="13" t="str">
        <x:v>KDS-02</x:v>
      </x:c>
      <x:c r="B8" s="13" t="str">
        <x:v>Integration</x:v>
      </x:c>
      <x:c r="C8" s="13" t="str">
        <x:v>Order POS thanh cong moi tao</x:v>
      </x:c>
      <x:c r="D8" s="13" t="str">
        <x:v>Order moi xuat hien o nhom NEW voi item, note, order code dung</x:v>
      </x:c>
      <x:c r="E8" s="13" t="str">
        <x:v>Passed (UI Checked)</x:v>
      </x:c>
      <x:c r="F8" s="13" t="str">
        <x:v>UI layouts and page redirects verified.</x:v>
      </x:c>
    </x:row>
    <x:row r="9">
      <x:c r="A9" s="13" t="str">
        <x:v>KDS-03</x:v>
      </x:c>
      <x:c r="B9" s="13" t="str">
        <x:v>Functional</x:v>
      </x:c>
      <x:c r="C9" s="13" t="str">
        <x:v>Mark complete cho order NEW</x:v>
      </x:c>
      <x:c r="D9" s="13" t="str">
        <x:v>Order chuyen tu Don moi sang Da hoan thanh</x:v>
      </x:c>
      <x:c r="E9" s="13" t="str">
        <x:v>Passed</x:v>
      </x:c>
      <x:c r="F9" s="13" t="str">
        <x:v>Functional scenario validated and matching expected behavior.</x:v>
      </x:c>
    </x:row>
    <x:row r="10">
      <x:c r="A10" s="13" t="str">
        <x:v>KDS-04</x:v>
      </x:c>
      <x:c r="B10" s="13" t="str">
        <x:v>Negative</x:v>
      </x:c>
      <x:c r="C10" s="13" t="str">
        <x:v>Complete lai order da COMPLETED</x:v>
      </x:c>
      <x:c r="D10" s="13" t="str">
        <x:v>Backend tra 409, UI khong dup order</x:v>
      </x:c>
      <x:c r="E10" s="13" t="str">
        <x:v>Passed</x:v>
      </x:c>
      <x:c r="F10" s="13" t="str">
        <x:v>Functional scenario validated and matching expected behavior.</x:v>
      </x:c>
    </x:row>
    <x:row r="11">
      <x:c r="A11" s="13" t="str">
        <x:v>KDS-05</x:v>
      </x:c>
      <x:c r="B11" s="13" t="str">
        <x:v>Business rule</x:v>
      </x:c>
      <x:c r="C11" s="13" t="str">
        <x:v>Chi order SUCCESS moi di vao KDS</x:v>
      </x:c>
      <x:c r="D11" s="13" t="str">
        <x:v>Du lieu KDS khong lay order khong hop le</x:v>
      </x:c>
      <x:c r="E11" s="13" t="str">
        <x:v>Passed (UI Checked)</x:v>
      </x:c>
      <x:c r="F11" s="13" t="str">
        <x:v>UI layouts and page redirects verified.</x:v>
      </x:c>
    </x:row>
    <x:row r="12">
      <x:c r="A12" s="13" t="str">
        <x:v>KDS-06</x:v>
      </x:c>
      <x:c r="B12" s="13" t="str">
        <x:v>Functional</x:v>
      </x:c>
      <x:c r="C12" s="13" t="str">
        <x:v>Manual refresh va auto-refresh</x:v>
      </x:c>
      <x:c r="D12" s="13" t="str">
        <x:v>Danh sach duoc cap nhat ma khong mat tinh nhat quan</x:v>
      </x:c>
      <x:c r="E12" s="13" t="str">
        <x:v>Passed</x:v>
      </x:c>
      <x:c r="F12" s="13" t="str">
        <x:v>Functional scenario validated and matching expected behavior.</x:v>
      </x:c>
    </x:row>
    <x:row r="13">
      <x:c r="A13" s="13" t="str">
        <x:v>KDS-07</x:v>
      </x:c>
      <x:c r="B13" s="13" t="str">
        <x:v>Security</x:v>
      </x:c>
      <x:c r="C13" s="13" t="str">
        <x:v>User khong phai STAFF goi API KDS</x:v>
      </x:c>
      <x:c r="D13" s="13" t="str">
        <x:v>Bi chan boi backend</x:v>
      </x:c>
      <x:c r="E13" s="13" t="str">
        <x:v>Passed</x:v>
      </x:c>
      <x:c r="F13" s="13" t="str">
        <x:v>Protected API authorization validated successfully.</x:v>
      </x:c>
    </x:row>
    <x:row r="14">
      <x:c r="A14" s="13" t="str">
        <x:v>KDS-08</x:v>
      </x:c>
      <x:c r="B14" s="13" t="str">
        <x:v>Regression</x:v>
      </x:c>
      <x:c r="C14" s="13" t="str">
        <x:v>Sau khi complete KDS, order detail/history phan staff hien kdsStatus va kdsCompletedAt dung</x:v>
      </x:c>
      <x:c r="D14" s="13" t="str">
        <x:v>Du lieu giua KDS va Order khop nhau</x:v>
      </x:c>
      <x:c r="E14" s="13" t="str">
        <x:v>Passed (UI Checked)</x:v>
      </x:c>
      <x:c r="F14" s="13" t="str">
        <x:v>UI layouts and page redirects verified.</x:v>
      </x:c>
    </x:row>
    <x:row r="15">
      <x:c r="A15" s="13" t="str">
        <x:v>KDS-09</x:v>
      </x:c>
      <x:c r="B15" s="13" t="str">
        <x:v>Empty state</x:v>
      </x:c>
      <x:c r="C15" s="13" t="str">
        <x:v>Khong co don moi va khong co don da hoan thanh</x:v>
      </x:c>
      <x:c r="D15" s="13" t="str">
        <x:v>UI hien empty state o ca 2 tab/nhom</x:v>
      </x:c>
      <x:c r="E15" s="13" t="str">
        <x:v>Passed (UI Checked)</x:v>
      </x:c>
      <x:c r="F15" s="13" t="str">
        <x:v>UI layouts and page redirects verified.</x:v>
      </x:c>
    </x:row>
    <x:row r="16">
      <x:c r="A16" s="13" t="str">
        <x:v>KDS-10</x:v>
      </x:c>
      <x:c r="B16" s="13" t="str">
        <x:v>Functional</x:v>
      </x:c>
      <x:c r="C16" s="13" t="str">
        <x:v>Don da hoan thanh khong con nut Hoan thanh</x:v>
      </x:c>
      <x:c r="D16" s="13" t="str">
        <x:v>UI ngan thao tac lap lai</x:v>
      </x:c>
      <x:c r="E16" s="13" t="str">
        <x:v>Passed</x:v>
      </x:c>
      <x:c r="F16" s="13" t="str">
        <x:v>Functional scenario validated and matching expected behavior.</x:v>
      </x:c>
    </x:row>
    <x:row r="17">
      <x:c r="A17" s="13" t="str">
        <x:v>KDS-11</x:v>
      </x:c>
      <x:c r="B17" s="13" t="str">
        <x:v>Concurrency</x:v>
      </x:c>
      <x:c r="C17" s="13" t="str">
        <x:v>2 staff cung bam complete 1 order gan nhu dong thoi</x:v>
      </x:c>
      <x:c r="D17" s="13" t="str">
        <x:v>Chi 1 request thanh cong, request con lai bi tu choi an toan</x:v>
      </x:c>
      <x:c r="E17" s="13" t="str">
        <x:v>Passed</x:v>
      </x:c>
      <x:c r="F17" s="13" t="str">
        <x:v>Functional scenario validated and matching expected behavior.</x:v>
      </x:c>
    </x:row>
    <x:row r="18">
      <x:c r="A18" s="13" t="str">
        <x:v>KDS-12</x:v>
      </x:c>
      <x:c r="B18" s="13" t="str">
        <x:v>Data integrity</x:v>
      </x:c>
      <x:c r="C18" s="13" t="str">
        <x:v>Order o nhom completed hien dung completedAt/completedBy neu UI co render</x:v>
      </x:c>
      <x:c r="D18" s="13" t="str">
        <x:v>Metadata bep khop voi backend</x:v>
      </x:c>
      <x:c r="E18" s="13" t="str">
        <x:v>Passed (UI Checked)</x:v>
      </x:c>
      <x:c r="F18" s="13" t="str">
        <x:v>UI layouts and page redirects verified.</x:v>
      </x:c>
    </x:row>
    <x:row r="19">
      <x:c r="A19" s="13" t="str">
        <x:v>KDS-13</x:v>
      </x:c>
      <x:c r="B19" s="13" t="str">
        <x:v>Integration</x:v>
      </x:c>
      <x:c r="C19" s="13" t="str">
        <x:v>Sau khi refresh, don da complete khong quay lai nhom NEW</x:v>
      </x:c>
      <x:c r="D19" s="13" t="str">
        <x:v>Trang thai KDS ben vung</x:v>
      </x:c>
      <x:c r="E19" s="13" t="str">
        <x:v>Passed</x:v>
      </x:c>
      <x:c r="F19" s="13" t="str">
        <x:v>Functional scenario validated and matching expected behavior.</x:v>
      </x:c>
    </x:row>
  </x:sheetData>
  <x:pageMargins left="0.7" right="0.7" top="0.75" bottom="0.75" header="0.3" footer="0.3"/>
</x:worksheet>
</file>