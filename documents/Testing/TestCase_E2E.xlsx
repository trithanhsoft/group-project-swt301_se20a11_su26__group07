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PT_KHOA\FPT_SU26\SWT301\SWT_Project\documents\Testing\"/>
    </mc:Choice>
  </mc:AlternateContent>
  <xr:revisionPtr revIDLastSave="0" documentId="8_{B70B69DC-6F50-4138-821E-0E6EFBD7688B}" xr6:coauthVersionLast="47" xr6:coauthVersionMax="47" xr10:uidLastSave="{00000000-0000-0000-0000-000000000000}"/>
  <bookViews>
    <workbookView xWindow="-110" yWindow="-110" windowWidth="22780" windowHeight="14540" firstSheet="3" activeTab="8" xr2:uid="{00000000-000D-0000-FFFF-FFFF00000000}"/>
  </bookViews>
  <sheets>
    <sheet name="01 Auth &amp; Profile" sheetId="1" r:id="rId1"/>
    <sheet name="02 Dashboard and report" sheetId="4" r:id="rId2"/>
    <sheet name="03 Product" sheetId="6" r:id="rId3"/>
    <sheet name="04 Inventory" sheetId="7" r:id="rId4"/>
    <sheet name="05 POS Session and Refund" sheetId="9" r:id="rId5"/>
    <sheet name="06 KDS and Orders" sheetId="12" r:id="rId6"/>
    <sheet name="07 HR features" sheetId="16" r:id="rId7"/>
    <sheet name="08 Payroll" sheetId="19" r:id="rId8"/>
    <sheet name="09 Users" sheetId="21" r:id="rId9"/>
    <sheet name="Bug report" sheetId="2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6" l="1"/>
  <c r="C7" i="6"/>
  <c r="D7" i="6" s="1"/>
  <c r="B7" i="6"/>
  <c r="A7" i="6"/>
  <c r="E6" i="6"/>
  <c r="D6" i="6" s="1"/>
  <c r="C6" i="6"/>
  <c r="B6" i="6"/>
  <c r="A6" i="6"/>
  <c r="G23" i="6"/>
  <c r="G26" i="6" a="1"/>
  <c r="G26" i="6" s="1"/>
  <c r="G27" i="6" a="1"/>
  <c r="G27" i="6" s="1"/>
  <c r="H27" i="6" a="1"/>
  <c r="H27" i="6" s="1"/>
  <c r="G29" i="6" a="1"/>
  <c r="G29" i="6" s="1"/>
  <c r="G30" i="6" a="1"/>
  <c r="G30" i="6" s="1"/>
  <c r="G31" i="6" a="1"/>
  <c r="G31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 s="1"/>
  <c r="E7" i="21"/>
  <c r="D7" i="21"/>
  <c r="C7" i="21"/>
  <c r="B7" i="21"/>
  <c r="A7" i="21"/>
  <c r="E6" i="21"/>
  <c r="D6" i="21"/>
  <c r="C6" i="21"/>
  <c r="B6" i="21"/>
  <c r="A6" i="21"/>
  <c r="E7" i="16"/>
  <c r="D7" i="16"/>
  <c r="C7" i="16"/>
  <c r="B7" i="16"/>
  <c r="A7" i="16"/>
  <c r="E6" i="16"/>
  <c r="D6" i="16"/>
  <c r="C6" i="16"/>
  <c r="B6" i="16"/>
  <c r="A6" i="16"/>
  <c r="E7" i="12"/>
  <c r="D7" i="12"/>
  <c r="C7" i="12"/>
  <c r="B7" i="12"/>
  <c r="A7" i="12"/>
  <c r="E6" i="12"/>
  <c r="D6" i="12"/>
  <c r="C6" i="12"/>
  <c r="B6" i="12"/>
  <c r="A6" i="12"/>
  <c r="E7" i="9"/>
  <c r="D7" i="9"/>
  <c r="C7" i="9"/>
  <c r="B7" i="9"/>
  <c r="A7" i="9"/>
  <c r="E6" i="9"/>
  <c r="D6" i="9"/>
  <c r="C6" i="9"/>
  <c r="B6" i="9"/>
  <c r="A6" i="9"/>
  <c r="E7" i="7"/>
  <c r="D7" i="7"/>
  <c r="C7" i="7"/>
  <c r="B7" i="7"/>
  <c r="A7" i="7"/>
  <c r="E6" i="7"/>
  <c r="D6" i="7"/>
  <c r="C6" i="7"/>
  <c r="B6" i="7"/>
  <c r="A6" i="7"/>
  <c r="E7" i="4"/>
  <c r="D7" i="4" s="1"/>
  <c r="C7" i="4"/>
  <c r="B7" i="4"/>
  <c r="A7" i="4"/>
  <c r="E6" i="4"/>
  <c r="C6" i="4"/>
  <c r="D6" i="4" s="1"/>
  <c r="B6" i="4"/>
  <c r="A6" i="4"/>
  <c r="A8" i="2"/>
  <c r="A7" i="2"/>
  <c r="A6" i="2"/>
  <c r="F3" i="2"/>
  <c r="E3" i="2"/>
  <c r="D3" i="2"/>
  <c r="C3" i="2"/>
  <c r="B3" i="2"/>
  <c r="A3" i="2"/>
  <c r="A12" i="1"/>
  <c r="A11" i="1"/>
  <c r="A10" i="1"/>
  <c r="E7" i="1"/>
  <c r="D7" i="1"/>
  <c r="C7" i="1"/>
  <c r="B7" i="1"/>
  <c r="A7" i="1"/>
  <c r="E6" i="1"/>
  <c r="D6" i="1"/>
  <c r="C6" i="1"/>
  <c r="B6" i="1"/>
  <c r="A6" i="1"/>
  <c r="C7" i="19" l="1"/>
  <c r="B7" i="19"/>
  <c r="A7" i="19"/>
  <c r="B6" i="19" l="1"/>
  <c r="C6" i="19"/>
  <c r="A6" i="19"/>
  <c r="E7" i="19" l="1"/>
  <c r="E6" i="19"/>
  <c r="D6" i="19" l="1"/>
  <c r="D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<sst xmlns="http://schemas.openxmlformats.org/spreadsheetml/2006/main" count="3692" uniqueCount="1833">
  <si>
    <t>BUG REPORT</t>
  </si>
  <si>
    <t>Rejected</t>
  </si>
  <si>
    <t>Deferred</t>
  </si>
  <si>
    <t>Re-opened</t>
  </si>
  <si>
    <t>Closed</t>
  </si>
  <si>
    <t>Not yet</t>
  </si>
  <si>
    <t>Number of bugs</t>
  </si>
  <si>
    <t>No</t>
  </si>
  <si>
    <t>BugID</t>
  </si>
  <si>
    <t>Title</t>
  </si>
  <si>
    <t>Preconditions</t>
  </si>
  <si>
    <t>Steps</t>
  </si>
  <si>
    <t>Data</t>
  </si>
  <si>
    <t>Expected result</t>
  </si>
  <si>
    <t>Actual result</t>
  </si>
  <si>
    <t>Environment</t>
  </si>
  <si>
    <t xml:space="preserve">Priority </t>
  </si>
  <si>
    <t xml:space="preserve">Note </t>
  </si>
  <si>
    <t>Status</t>
  </si>
  <si>
    <t>High</t>
  </si>
  <si>
    <t>TEST CASE</t>
  </si>
  <si>
    <t>Module Code</t>
  </si>
  <si>
    <t>AUTH</t>
  </si>
  <si>
    <t>Test requirement</t>
  </si>
  <si>
    <t>Kiểm thử Authentication và Profile của hệ thống Mini Coffee POS &amp; Inventory System</t>
  </si>
  <si>
    <t>Tester</t>
  </si>
  <si>
    <t>Passed</t>
  </si>
  <si>
    <t>Failed</t>
  </si>
  <si>
    <t>N/A</t>
  </si>
  <si>
    <t>Number of Test cases</t>
  </si>
  <si>
    <t>ID</t>
  </si>
  <si>
    <t>Group Name</t>
  </si>
  <si>
    <t>Sub group</t>
  </si>
  <si>
    <t>Test Case Description</t>
  </si>
  <si>
    <t>Precondition</t>
  </si>
  <si>
    <t>Test Case Procedure</t>
  </si>
  <si>
    <t>Test data</t>
  </si>
  <si>
    <t>Expected Output</t>
  </si>
  <si>
    <t>Desktop</t>
  </si>
  <si>
    <t>Mobile</t>
  </si>
  <si>
    <t>Note</t>
  </si>
  <si>
    <t>Authentication &amp; Profile</t>
  </si>
  <si>
    <t>Đăng nhập</t>
  </si>
  <si>
    <t>Đăng nhập thành công bằng tài khoản ADMIN và điều hướng đúng dashboard.</t>
  </si>
  <si>
    <t>Hệ thống hoạt động; dữ liệu seed đã có ADMIN admin/Admin123@ và STAFF staff/Staff123@; người dùng đang ở /login.</t>
  </si>
  <si>
    <t>1. Mở trang /login trên trình duyệt mới hoặc đã xóa localStorage/sessionStorage.
2. Nhập Tên đăng nhập = admin.
3. Nhập Mật khẩu = Admin123@.
4. Nhấn nút Đăng nhập và theo dõi request POST /api/auth/login, URL điều hướng và dữ liệu lưu phía client.</t>
  </si>
  <si>
    <t>- username=admin
- password=Admin123@</t>
  </si>
  <si>
    <t>- HTTP 200; trả JWT và thông tin user role=ADMIN, status=ACTIVE.
- last_login_at được cập nhật.
- Frontend lưu token theo cơ chế thiết kế và điều hướng /admin/dashboard.
- Hiển thị tên/role Admin Demo; không lộ password/hash.</t>
  </si>
  <si>
    <t>P0 | UI+API+DB | Automation: Yes | REQ-AUTH-LOGIN-01 | POST /api/auth/login</t>
  </si>
  <si>
    <t>Đăng nhập thành công bằng tài khoản STAFF và điều hướng đúng quầy POS.</t>
  </si>
  <si>
    <t>1. Mở trang /login trên trình duyệt mới hoặc đã xóa localStorage/sessionStorage.
2. Nhập Tên đăng nhập = staff.
3. Nhập Mật khẩu = Staff123@.
4. Nhấn nút Đăng nhập và theo dõi request POST /api/auth/login, URL điều hướng và dữ liệu lưu phía client.</t>
  </si>
  <si>
    <t>- username=staff
- password=Staff123@</t>
  </si>
  <si>
    <t>- HTTP 200; user role=STAFF.
- last_login_at được cập nhật.
- Điều hướng /staff/pos; menu chỉ hiển thị chức năng staff.
- Không thể nhìn thấy menu quản trị.</t>
  </si>
  <si>
    <t>Username được xử lý không phân biệt hoa/thường.</t>
  </si>
  <si>
    <t>1. Mở trang /login trên trình duyệt mới hoặc đã xóa localStorage/sessionStorage.
2. Nhập Tên đăng nhập = AdMiN.
3. Nhập Mật khẩu = Admin123@.
4. Nhấn nút Đăng nhập và theo dõi request POST /api/auth/login, URL điều hướng và dữ liệu lưu phía client.</t>
  </si>
  <si>
    <t>- username=AdMiN
- password=Admin123@</t>
  </si>
  <si>
    <t>- Đăng nhập thành công vào đúng tài khoản admin do username unique/case-insensitive.
- Không tạo hoặc trả về tài khoản khác.</t>
  </si>
  <si>
    <t>P1 | UI+API | Automation: Yes | REQ-AUTH-LOGIN-02 | POST /api/auth/login</t>
  </si>
  <si>
    <t>AUTH-004</t>
  </si>
  <si>
    <t>Từ chối khi username không tồn tại</t>
  </si>
  <si>
    <t>1. Mở trang /login trên trình duyệt mới hoặc đã xóa localStorage/sessionStorage.
2. Nhập Tên đăng nhập = 'not_exist'.
3. Nhập Mật khẩu = 'Admin123@'.
4. Nhấn nút Đăng nhập và theo dõi request POST /api/auth/login, URL điều hướng và dữ liệu lưu phía client.</t>
  </si>
  <si>
    <t>- username='not_exist'
- password='Admin123@'</t>
  </si>
  <si>
    <t>- HTTP 401/400 theo chuẩn API; thông báo đăng nhập không hợp lệ, không tiết lộ username hay password sai.
- Không sinh token; last_login_at không thay đổi.</t>
  </si>
  <si>
    <t>P1 | UI+API | Automation: Yes | REQ-AUTH-LOGIN-03 | POST /api/auth/login</t>
  </si>
  <si>
    <t>AUTH-005</t>
  </si>
  <si>
    <t>Từ chối khi mật khẩu sai</t>
  </si>
  <si>
    <t>1. Mở trang /login trên trình duyệt mới hoặc đã xóa localStorage/sessionStorage.
2. Nhập Tên đăng nhập = 'admin'.
3. Nhập Mật khẩu = 'WrongPass123'.
4. Nhấn nút Đăng nhập và theo dõi request POST /api/auth/login, URL điều hướng và dữ liệu lưu phía client.</t>
  </si>
  <si>
    <t>- username='admin'
- password='WrongPass123'</t>
  </si>
  <si>
    <t>- HTTP 401; thông báo chung, không tiết lộ chi tiết bảo mật.
- Không sinh token; không điều hướng.</t>
  </si>
  <si>
    <t>P0 | UI+API | Automation: Yes | REQ-AUTH-LOGIN-03 | POST /api/auth/login</t>
  </si>
  <si>
    <t>AUTH-006</t>
  </si>
  <si>
    <t>Validate username để trống</t>
  </si>
  <si>
    <t>1. Mở trang /login trên trình duyệt mới hoặc đã xóa localStorage/sessionStorage.
2. Nhập Tên đăng nhập = ''.
3. Nhập Mật khẩu = 'Admin123@'.
4. Nhấn nút Đăng nhập và theo dõi request POST /api/auth/login, URL điều hướng và dữ liệu lưu phía client.</t>
  </si>
  <si>
    <t>- username=''
- password='Admin123@'</t>
  </si>
  <si>
    <t>- Không gửi request hoặc API trả 400 validation.
- Hiển thị lỗi bắt buộc tại trường username; nút không gây đăng nhập.</t>
  </si>
  <si>
    <t>AUTH-007</t>
  </si>
  <si>
    <t>Validate password để trống</t>
  </si>
  <si>
    <t>1. Mở trang /login trên trình duyệt mới hoặc đã xóa localStorage/sessionStorage.
2. Nhập Tên đăng nhập = 'admin'.
3. Nhập Mật khẩu = ''.
4. Nhấn nút Đăng nhập và theo dõi request POST /api/auth/login, URL điều hướng và dữ liệu lưu phía client.</t>
  </si>
  <si>
    <t>- username='admin'
- password=''</t>
  </si>
  <si>
    <t>- Không gửi request hoặc API trả 400 validation.
- Hiển thị lỗi bắt buộc tại trường password.</t>
  </si>
  <si>
    <t>AUTH-008</t>
  </si>
  <si>
    <t>Validate cả hai trường để trống</t>
  </si>
  <si>
    <t>1. Mở trang /login trên trình duyệt mới hoặc đã xóa localStorage/sessionStorage.
2. Nhập Tên đăng nhập = ''.
3. Nhập Mật khẩu = ''.
4. Nhấn nút Đăng nhập và theo dõi request POST /api/auth/login, URL điều hướng và dữ liệu lưu phía client.</t>
  </si>
  <si>
    <t>- username=''
- password=''</t>
  </si>
  <si>
    <t>- Các trường bắt buộc được báo lỗi rõ ràng.
- Không sinh request đăng nhập hợp lệ, không token.</t>
  </si>
  <si>
    <t>AUTH-009</t>
  </si>
  <si>
    <t>Từ chối dữ liệu chỉ gồm khoảng trắng</t>
  </si>
  <si>
    <t>1. Mở trang /login trên trình duyệt mới hoặc đã xóa localStorage/sessionStorage.
2. Nhập Tên đăng nhập = '   '.
3. Nhập Mật khẩu = '   '.
4. Nhấn nút Đăng nhập và theo dõi request POST /api/auth/login, URL điều hướng và dữ liệu lưu phía client.</t>
  </si>
  <si>
    <t>- username='   '
- password='   '</t>
  </si>
  <si>
    <t>- Khoảng trắng được trim/validate; đăng nhập thất bại.
- Không sinh token và không điều hướng.</t>
  </si>
  <si>
    <t>AUTH-010</t>
  </si>
  <si>
    <t>Tài khoản INACTIVE không thể đăng nhập.</t>
  </si>
  <si>
    <t>Có user status=INACTIVE, chưa deleted; biết đúng username/password.</t>
  </si>
  <si>
    <t>1. Mở trang /login trên trình duyệt mới hoặc đã xóa localStorage/sessionStorage.
2. Nhập Tên đăng nhập = inactive_staff.
3. Nhập Mật khẩu = Valid123@.
4. Nhấn nút Đăng nhập và theo dõi request POST /api/auth/login, URL điều hướng và dữ liệu lưu phía client.</t>
  </si>
  <si>
    <t>- username=inactive_staff
- password=Valid123@</t>
  </si>
  <si>
    <t>- API từ chối với 401/403 phù hợp; thông báo tài khoản không hoạt động.
- Không trả token; last_login_at không cập nhật.</t>
  </si>
  <si>
    <t>P0 | UI+API+DB | Automation: Yes | REQ-AUTH-LOGIN-04 | POST /api/auth/login</t>
  </si>
  <si>
    <t>AUTH-011</t>
  </si>
  <si>
    <t>Tài khoản đã soft delete không thể đăng nhập.</t>
  </si>
  <si>
    <t>Có user deleted_at khác NULL và biết đúng mật khẩu.</t>
  </si>
  <si>
    <t>1. Mở trang /login trên trình duyệt mới hoặc đã xóa localStorage/sessionStorage.
2. Nhập Tên đăng nhập = deleted_user.
3. Nhập Mật khẩu = Valid123@.
4. Nhấn nút Đăng nhập và theo dõi request POST /api/auth/login, URL điều hướng và dữ liệu lưu phía client.</t>
  </si>
  <si>
    <t>- username=deleted_user
- password=Valid123@</t>
  </si>
  <si>
    <t>- API coi tài khoản không tồn tại/không hợp lệ.
- Không trả token; không cho truy cập hệ thống.</t>
  </si>
  <si>
    <t>P0 | API+DB | Automation: Yes | REQ-AUTH-LOGIN-04 | POST /api/auth/login</t>
  </si>
  <si>
    <t>AUTH-012</t>
  </si>
  <si>
    <t>Bảo mật đầu vào</t>
  </si>
  <si>
    <t>Không thể bypass đăng nhập bằng chuỗi SQL injection</t>
  </si>
  <si>
    <t>1. Mở trang /login trên trình duyệt mới hoặc đã xóa localStorage/sessionStorage.
2. Nhập Tên đăng nhập = ' OR '1'='1.
3. Nhập Mật khẩu = WrongPass.
4. Nhấn nút Đăng nhập và theo dõi request POST /api/auth/login, URL điều hướng và dữ liệu lưu phía client.</t>
  </si>
  <si>
    <t>- username=' OR '1'='1
- password=WrongPass</t>
  </si>
  <si>
    <t>- Không thực thi SQL/script; không lỗi 500.
- Đăng nhập thất bại có kiểm soát; response không chứa stack trace hoặc SQL.
- Dữ liệu hiển thị được escape.</t>
  </si>
  <si>
    <t>P0 | UI+API+Security | Automation: Yes | REQ-SEC-INPUT-01 | POST /api/auth/login</t>
  </si>
  <si>
    <t>AUTH-013</t>
  </si>
  <si>
    <t>Không thực thi XSS khi nhập script vào form đăng nhập</t>
  </si>
  <si>
    <t>1. Mở trang /login trên trình duyệt mới hoặc đã xóa localStorage/sessionStorage.
2. Nhập Tên đăng nhập = &lt;script&gt;alert(1)&lt;/script&gt;.
3. Nhập Mật khẩu = WrongPass.
4. Nhấn nút Đăng nhập và theo dõi request POST /api/auth/login, URL điều hướng và dữ liệu lưu phía client.</t>
  </si>
  <si>
    <t>- username=&lt;script&gt;alert(1)&lt;/script&gt;
- password=WrongPass</t>
  </si>
  <si>
    <t>AUTH-014</t>
  </si>
  <si>
    <t>Xử lý an toàn ký tự null/control trong username</t>
  </si>
  <si>
    <t>1. Mở trang /login trên trình duyệt mới hoặc đã xóa localStorage/sessionStorage.
2. Nhập Tên đăng nhập = admin.
3. Nhập Mật khẩu = WrongPass.
4. Nhấn nút Đăng nhập và theo dõi request POST /api/auth/login, URL điều hướng và dữ liệu lưu phía client.</t>
  </si>
  <si>
    <t>- username=admin
- password=WrongPass</t>
  </si>
  <si>
    <t>AUTH-015</t>
  </si>
  <si>
    <t>Giao diện đăng nhập</t>
  </si>
  <si>
    <t>Nút hiện/ẩn mật khẩu chỉ thay đổi kiểu hiển thị, không thay đổi giá trị.</t>
  </si>
  <si>
    <t>1. Nhập mật khẩu Admin123@.
2. Nhấn biểu tượng con mắt để hiện mật khẩu.
3. Nhấn lại để ẩn mật khẩu.
4. Đăng nhập.</t>
  </si>
  <si>
    <t>- password=Admin123@</t>
  </si>
  <si>
    <t>- type của input chuyển password↔text đúng lúc.
- Giá trị không bị xóa/thay đổi; đăng nhập vẫn thành công.
- Mặc định mật khẩu được che.</t>
  </si>
  <si>
    <t>P2 | UI | Automation: Yes | REQ-UX-LOGIN-01 | /login</t>
  </si>
  <si>
    <t>AUTH-016</t>
  </si>
  <si>
    <t>Có thể submit bằng phím Enter khi focus ở trường mật khẩu.</t>
  </si>
  <si>
    <t>1. Nhập username/password hợp lệ.
2. Đặt focus tại trường mật khẩu.
3. Nhấn Enter một lần.</t>
  </si>
  <si>
    <t>- admin / Admin123@</t>
  </si>
  <si>
    <t>- Chỉ một request đăng nhập được gửi.
- Đăng nhập thành công và điều hướng đúng.</t>
  </si>
  <si>
    <t>P2 | UI | Automation: Yes | REQ-UX-LOGIN-02 | /login</t>
  </si>
  <si>
    <t>AUTH-017</t>
  </si>
  <si>
    <t>Phiên đăng nhập</t>
  </si>
  <si>
    <t>Token hợp lệ duy trì phiên sau khi refresh.</t>
  </si>
  <si>
    <t>Đã đăng nhập thành công; token chưa hết hạn.</t>
  </si>
  <si>
    <t>1. Mở một trang protected.
2. Refresh trình duyệt.
3. Theo dõi GET /api/auth/me và trạng thái UI.</t>
  </si>
  <si>
    <t>- JWT hợp lệ</t>
  </si>
  <si>
    <t>- Request /me có Authorization Bearer token.
- User vẫn đăng nhập, route không đổi; dữ liệu profile khôi phục đúng.
- Không nhấp nháy/redirect vô hạn.</t>
  </si>
  <si>
    <t>P0 | UI+API | Automation: Yes | REQ-AUTH-SESSION-01 | GET /api/auth/me</t>
  </si>
  <si>
    <t>AUTH-018</t>
  </si>
  <si>
    <t>Token hết hạn sau 7 ngày bị từ chối và client logout.</t>
  </si>
  <si>
    <t>Có JWT đã hết hạn hoặc chỉnh clock/test token.</t>
  </si>
  <si>
    <t>1. Gắn token hết hạn vào storage.
2. Truy cập /profile hoặc gọi GET /api/auth/me.
3. Quan sát response và điều hướng.</t>
  </si>
  <si>
    <t>- expired JWT</t>
  </si>
  <si>
    <t>- API trả 401.
- Client xóa token/user state và điều hướng /login.
- Không hiển thị dữ liệu protected cũ.</t>
  </si>
  <si>
    <t>P0 | UI+API | Automation: Yes | REQ-AUTH-SESSION-02 | GET /api/auth/me</t>
  </si>
  <si>
    <t>AUTH-019</t>
  </si>
  <si>
    <t>Token sai chữ ký/định dạng bị từ chối.</t>
  </si>
  <si>
    <t>Không đăng nhập hoặc có thể chỉnh storage.</t>
  </si>
  <si>
    <t>1. Đặt token = abc.def.ghi hoặc JWT ký bằng secret khác.
2. Gọi endpoint protected.
3. Quan sát response.</t>
  </si>
  <si>
    <t>- Authorization: Bearer abc.def.ghi</t>
  </si>
  <si>
    <t>- HTTP 401; không truy cập tài nguyên.
- Không lỗi 500; client chuyển về login khi phù hợp.</t>
  </si>
  <si>
    <t>P0 | API+Security | Automation: Yes | REQ-AUTH-SESSION-02 | GET /api/auth/me</t>
  </si>
  <si>
    <t>AUTH-020</t>
  </si>
  <si>
    <t>Đăng xuất</t>
  </si>
  <si>
    <t>Đăng xuất xóa phiên và chặn quay lại trang protected.</t>
  </si>
  <si>
    <t>Đang đăng nhập ADMIN hoặc STAFF.</t>
  </si>
  <si>
    <t>1. Nhấn Đăng xuất.
2. Kiểm tra storage và URL.
3. Dùng nút Back của trình duyệt.
4. Refresh trang.</t>
  </si>
  <si>
    <t>- Tài khoản admin hoặc staff</t>
  </si>
  <si>
    <t>- Token/user state bị xóa; điều hướng /login.
- Back/refresh không xem được dữ liệu protected; ProtectedRoute đưa về /login.</t>
  </si>
  <si>
    <t>P0 | UI | Automation: Yes | REQ-AUTH-LOGOUT-01 | /logout</t>
  </si>
  <si>
    <t>AUTH-021</t>
  </si>
  <si>
    <t>Quên mật khẩu</t>
  </si>
  <si>
    <t>Gửi OTP thành công khi username và email khớp tài khoản ACTIVE.</t>
  </si>
  <si>
    <t>Trang /forgot-password truy cập được; mail test inbox hoạt động; user ACTIVE có username/email đã biết.</t>
  </si>
  <si>
    <t>1. Mở Quên mật khẩu từ trang login.
2. Nhập username và email hợp lệ.
3. Nhấn Gửi mã xác nhận.
4. Kiểm tra response và hộp thư.</t>
  </si>
  <si>
    <t>- username=admin
- email=email đã đăng ký của admin</t>
  </si>
  <si>
    <t>- HTTP 200; UI chuyển sang bước nhập OTP/reset.
- Email được gửi đúng người nhận, chứa OTP đúng 6 chữ số.
- reset_token được lưu an toàn theo thiết kế và reset_token_expires_at ≈ hiện tại + 15 phút.
- Response không trả OTP trong production.</t>
  </si>
  <si>
    <t>P0 | UI+API+Email+DB | Automation: Partial | REQ-AUTH-FORGOT-01 | POST /api/auth/forgot-password</t>
  </si>
  <si>
    <t>AUTH-022</t>
  </si>
  <si>
    <t>Từ chối khi email không khớp username</t>
  </si>
  <si>
    <t>1. Mở trang quên mật khẩu.
2. Nhập dữ liệu kiểm thử.
3. Nhấn Gửi mã xác nhận.
4. Kiểm tra network, UI, mail và DB.</t>
  </si>
  <si>
    <t>- username=admin
- email=other@example.com</t>
  </si>
  <si>
    <t>- Không gửi OTP; trả lỗi chung không làm lộ tài khoản.
- Không cập nhật reset_token.</t>
  </si>
  <si>
    <t>P1 | UI+API+DB | Automation: Yes | REQ-AUTH-FORGOT-02 | POST /api/auth/forgot-password</t>
  </si>
  <si>
    <t>AUTH-023</t>
  </si>
  <si>
    <t>Validate email sai định dạng</t>
  </si>
  <si>
    <t>- username=admin
- email=abc@</t>
  </si>
  <si>
    <t>- UI/API báo email không hợp lệ theo regex.
- Không gửi mail.</t>
  </si>
  <si>
    <t>AUTH-024</t>
  </si>
  <si>
    <t>Validate username trống</t>
  </si>
  <si>
    <t>- username=
- email=admin@example.com</t>
  </si>
  <si>
    <t>- Báo trường bắt buộc; không gửi mail.</t>
  </si>
  <si>
    <t>AUTH-025</t>
  </si>
  <si>
    <t>Validate email trống</t>
  </si>
  <si>
    <t>- username=admin
- email=</t>
  </si>
  <si>
    <t>AUTH-026</t>
  </si>
  <si>
    <t>Tài khoản INACTIVE không nhận OTP</t>
  </si>
  <si>
    <t>- username=inactive_staff
- email=inactive@example.com</t>
  </si>
  <si>
    <t>- Không cho reset/không gửi OTP; trạng thái tài khoản không bị thay đổi.</t>
  </si>
  <si>
    <t>AUTH-027</t>
  </si>
  <si>
    <t>Tài khoản soft-delete không nhận OTP</t>
  </si>
  <si>
    <t>- username=deleted_user
- email=deleted@example.com</t>
  </si>
  <si>
    <t>- Không gửi OTP; phản hồi an toàn như tài khoản không tồn tại.</t>
  </si>
  <si>
    <t>AUTH-028</t>
  </si>
  <si>
    <t>Reset mật khẩu</t>
  </si>
  <si>
    <t>Reset mật khẩu thành công với OTP hợp lệ.</t>
  </si>
  <si>
    <t>Đã yêu cầu quên mật khẩu cho user ACTIVE và có OTP; chưa vượt thời hạn 15 phút.</t>
  </si>
  <si>
    <t>1. Nhập username/email theo flow hoặc dữ liệu định danh theo form.
2. Nhập OTP hợp lệ và mật khẩu mới.
3. Submit reset.
4. Đăng nhập bằng mật khẩu mới; thử lại mật khẩu cũ.</t>
  </si>
  <si>
    <t>- OTP=6 chữ số hợp lệ
- newPassword=NewPass123@</t>
  </si>
  <si>
    <t>- HTTP 200; password_hash được thay bằng bcrypt hash mới, không lưu plaintext.
- reset_token và expires được vô hiệu/xóa.
- Đăng nhập bằng mật khẩu mới thành công; mật khẩu cũ thất bại.</t>
  </si>
  <si>
    <t>P0 | UI+API+DB | Automation: Partial | REQ-AUTH-RESET-01 | POST /api/auth/reset-password</t>
  </si>
  <si>
    <t>AUTH-029</t>
  </si>
  <si>
    <t>Từ chối OTP sai</t>
  </si>
  <si>
    <t>1. Chuẩn bị OTP theo điều kiện ca kiểm thử.
2. Nhập OTP và mật khẩu mới.
3. Submit.
4. Kiểm tra response, DB và khả năng đăng nhập.</t>
  </si>
  <si>
    <t>- OTP=000000
- newPassword=NewPass123@</t>
  </si>
  <si>
    <t>- Reset thất bại; password_hash không đổi.
- Thông báo OTP không hợp lệ; không đăng nhập được bằng mật khẩu mới.</t>
  </si>
  <si>
    <t>P0 | UI+API+DB | Automation: Yes | REQ-AUTH-RESET-02 | POST /api/auth/reset-password</t>
  </si>
  <si>
    <t>AUTH-030</t>
  </si>
  <si>
    <t>Từ chối OTP đã hết hạn 15 phút</t>
  </si>
  <si>
    <t>- OTP hợp lệ nhưng reset_token_expires_at &lt; now
- newPassword=NewPass123@</t>
  </si>
  <si>
    <t>- Reset thất bại; yêu cầu người dùng gửi lại OTP.
- Password và token cũ không bị thay đổi ngoài cơ chế làm sạch theo thiết kế.</t>
  </si>
  <si>
    <t>AUTH-031</t>
  </si>
  <si>
    <t>OTP không thể tái sử dụng sau reset thành công</t>
  </si>
  <si>
    <t>- Dùng lại OTP vừa reset
- newPassword=Another123@</t>
  </si>
  <si>
    <t>- API từ chối; mật khẩu hiện tại vẫn là mật khẩu đã reset lần đầu.</t>
  </si>
  <si>
    <t>AUTH-032</t>
  </si>
  <si>
    <t>Mật khẩu mới dưới 6 ký tự bị từ chối</t>
  </si>
  <si>
    <t>- OTP hợp lệ
- newPassword=Ab1@x (5 ký tự)</t>
  </si>
  <si>
    <t>- Validation lỗi độ dài 6–63; password_hash không đổi.</t>
  </si>
  <si>
    <t>P1 | UI+API+DB | Automation: Yes | REQ-AUTH-RESET-02 | POST /api/auth/reset-password</t>
  </si>
  <si>
    <t>AUTH-033</t>
  </si>
  <si>
    <t>Mật khẩu mới đúng 6 ký tự được chấp nhận</t>
  </si>
  <si>
    <t>- OTP hợp lệ
- newPassword=A1@abc (6 ký tự)</t>
  </si>
  <si>
    <t>- Reset thành công nếu các rule khác không yêu cầu thêm; có thể đăng nhập bằng mật khẩu mới.</t>
  </si>
  <si>
    <t>AUTH-034</t>
  </si>
  <si>
    <t>Mật khẩu mới đúng 63 ký tự được chấp nhận</t>
  </si>
  <si>
    <t>- OTP hợp lệ
- newPassword=chuỗi 63 ký tự</t>
  </si>
  <si>
    <t>- Reset thành công; không bị cắt chuỗi.</t>
  </si>
  <si>
    <t>AUTH-035</t>
  </si>
  <si>
    <t>Mật khẩu mới 64 ký tự bị từ chối</t>
  </si>
  <si>
    <t>- OTP hợp lệ
- newPassword=chuỗi 64 ký tự</t>
  </si>
  <si>
    <t>- Validation lỗi; không cập nhật password_hash.</t>
  </si>
  <si>
    <t>AUTH-036</t>
  </si>
  <si>
    <t>OTP chứa chữ/ký tự đặc biệt bị từ chối</t>
  </si>
  <si>
    <t>- OTP=12A@56
- newPassword=NewPass123@</t>
  </si>
  <si>
    <t>- Validation yêu cầu đúng 6 chữ số; không reset.</t>
  </si>
  <si>
    <t>PROF-001</t>
  </si>
  <si>
    <t>Thông tin cá nhân</t>
  </si>
  <si>
    <t>Lấy và hiển thị đúng thông tin user hiện tại.</t>
  </si>
  <si>
    <t>Đã đăng nhập bằng user ACTIVE; đang ở /profile; token hợp lệ.</t>
  </si>
  <si>
    <t>1. Mở /profile.
2. Theo dõi GET /api/auth/me.
3. Đối chiếu dữ liệu UI với DB.</t>
  </si>
  <si>
    <t>- user=admin hoặc staff</t>
  </si>
  <si>
    <t>- HTTP 200 chỉ trả thông tin của token hiện tại.
- fullName, username, email, role, status hiển thị đúng; không trả password_hash/reset_token.</t>
  </si>
  <si>
    <t>P0 | UI+API | Automation: Yes | REQ-PROFILE-01 | GET /api/auth/me</t>
  </si>
  <si>
    <t>PROF-002</t>
  </si>
  <si>
    <t>Cập nhật hồ sơ</t>
  </si>
  <si>
    <t>Cập nhật fullName và email hợp lệ.</t>
  </si>
  <si>
    <t>1. Sửa fullName và email.
2. Nhấn Lưu.
3. Refresh và đăng xuất/đăng nhập lại.</t>
  </si>
  <si>
    <t>- fullName=Nguyễn Văn Test
- email=profile.test@example.com</t>
  </si>
  <si>
    <t>- PATCH thành công; DB cập nhật đúng user.
- UI/header hiển thị tên mới; dữ liệu tồn tại sau refresh/login.
- Username/role/status không bị thay đổi ngoài payload cho phép.</t>
  </si>
  <si>
    <t>P0 | UI+API+DB | Automation: Yes | REQ-PROFILE-02 | PATCH /api/auth/me/profile</t>
  </si>
  <si>
    <t>PROF-003</t>
  </si>
  <si>
    <t>Từ chối email trùng với user khác</t>
  </si>
  <si>
    <t>1. Mở form hồ sơ.
2. Nhập dữ liệu kiểm thử.
3. Nhấn Lưu.
4. Kiểm tra thông báo, response và DB.</t>
  </si>
  <si>
    <t>- fullName=User A
- email=email của user B</t>
  </si>
  <si>
    <t>- API báo email đã tồn tại; không cập nhật một phần fullName/email.
- UI giữ dữ liệu cũ hoặc tải lại nhất quán.</t>
  </si>
  <si>
    <t>P1 | UI+API+DB | Automation: Yes | REQ-PROFILE-03 | PATCH /api/auth/me/profile</t>
  </si>
  <si>
    <t>PROF-004</t>
  </si>
  <si>
    <t>Từ chối email sai regex</t>
  </si>
  <si>
    <t>- fullName=User A
- email=user@invalid</t>
  </si>
  <si>
    <t>- Hiển thị lỗi email; API 400; DB không đổi.</t>
  </si>
  <si>
    <t>PROF-005</t>
  </si>
  <si>
    <t>Chấp nhận fullName đúng 120 ký tự</t>
  </si>
  <si>
    <t>- fullName=chuỗi Unicode 120 ký tự
- email hợp lệ</t>
  </si>
  <si>
    <t>- Cập nhật thành công; hiển thị đủ, không lỗi encoding.</t>
  </si>
  <si>
    <t>PROF-006</t>
  </si>
  <si>
    <t>Từ chối fullName 121 ký tự</t>
  </si>
  <si>
    <t>- fullName=chuỗi 121 ký tự
- email hợp lệ</t>
  </si>
  <si>
    <t>- Validation/DB từ chối có kiểm soát; không truncate âm thầm.</t>
  </si>
  <si>
    <t>PROF-007</t>
  </si>
  <si>
    <t>Trim khoảng trắng đầu/cuối ở fullName/email</t>
  </si>
  <si>
    <t>- fullName='  Nguyễn Test  '
- email='  user@example.com  '</t>
  </si>
  <si>
    <t>- Dữ liệu được trim theo chuẩn hoặc validation nhất quán; không tạo email trùng do khoảng trắng.</t>
  </si>
  <si>
    <t>PROF-008</t>
  </si>
  <si>
    <t>Đổi mật khẩu</t>
  </si>
  <si>
    <t>Đổi mật khẩu thành công khi mật khẩu cũ đúng.</t>
  </si>
  <si>
    <t>1. Mở form Đổi mật khẩu.
2. Nhập mật khẩu cũ và mật khẩu mới hợp lệ.
3. Submit.
4. Đăng xuất và đăng nhập bằng mật khẩu mới.</t>
  </si>
  <si>
    <t>- oldPassword=Staff123@
- newPassword=StaffNew123@</t>
  </si>
  <si>
    <t>- PATCH thành công; hash mới khác hash cũ.
- Phiên hiện tại xử lý theo thiết kế; lần đăng nhập sau dùng mật khẩu mới.
- Mật khẩu cũ không còn dùng được.</t>
  </si>
  <si>
    <t>P0 | UI+API+DB | Automation: Yes | REQ-PROFILE-PWD-01 | PATCH /api/auth/me/password</t>
  </si>
  <si>
    <t>PROF-009</t>
  </si>
  <si>
    <t>Từ chối khi mật khẩu cũ sai</t>
  </si>
  <si>
    <t>1. Mở form đổi mật khẩu.
2. Nhập dữ liệu kiểm thử.
3. Submit.
4. Kiểm tra response, DB và login.</t>
  </si>
  <si>
    <t>- oldPassword=Wrong123@
- newPassword=ValidNew123@</t>
  </si>
  <si>
    <t>- API báo mật khẩu cũ không đúng; hash không đổi.</t>
  </si>
  <si>
    <t>P0 | UI+API+DB | Automation: Yes | REQ-PROFILE-PWD-02 | PATCH /api/auth/me/password</t>
  </si>
  <si>
    <t>PROF-010</t>
  </si>
  <si>
    <t>Từ chối mật khẩu mới dưới 6 ký tự</t>
  </si>
  <si>
    <t>- oldPassword đúng
- newPassword=Ab1@x</t>
  </si>
  <si>
    <t>- Validation độ dài; hash không đổi.</t>
  </si>
  <si>
    <t>P1 | UI+API+DB | Automation: Yes | REQ-PROFILE-PWD-02 | PATCH /api/auth/me/password</t>
  </si>
  <si>
    <t>PROF-011</t>
  </si>
  <si>
    <t>Chấp nhận mật khẩu mới đúng 63 ký tự</t>
  </si>
  <si>
    <t>- oldPassword đúng
- newPassword=63 ký tự</t>
  </si>
  <si>
    <t>- Đổi thành công; đăng nhập được, không cắt dữ liệu.</t>
  </si>
  <si>
    <t>PROF-012</t>
  </si>
  <si>
    <t>Từ chối mật khẩu mới 64 ký tự</t>
  </si>
  <si>
    <t>- oldPassword đúng
- newPassword=64 ký tự</t>
  </si>
  <si>
    <t>- Validation lỗi; không đổi password.</t>
  </si>
  <si>
    <t>RBAC-001</t>
  </si>
  <si>
    <t>Authorization &amp; Routing</t>
  </si>
  <si>
    <t>Phân quyền</t>
  </si>
  <si>
    <t>Người chưa đăng nhập truy cập /admin/dashboard</t>
  </si>
  <si>
    <t>Không có token</t>
  </si>
  <si>
    <t>1. Chuẩn bị trạng thái đăng nhập như điều kiện.
2. Truy cập route/gửi request trực tiếp bằng DevTools/API client.
3. Quan sát URL, response, UI và DB.</t>
  </si>
  <si>
    <t>- /admin/dashboard</t>
  </si>
  <si>
    <t>- ProtectedRoute chuyển /login; không gọi/không hiển thị dữ liệu dashboard.</t>
  </si>
  <si>
    <t>P0 | UI+API+Security | Automation: Yes | REQ-RBAC-01 | /admin/dashboard</t>
  </si>
  <si>
    <t>RBAC-002</t>
  </si>
  <si>
    <t>Người chưa đăng nhập truy cập /staff/pos</t>
  </si>
  <si>
    <t>- /staff/pos</t>
  </si>
  <si>
    <t>- Chuyển /login; không hiển thị POS.</t>
  </si>
  <si>
    <t>P0 | UI+API+Security | Automation: Yes | REQ-RBAC-01 | /staff/pos</t>
  </si>
  <si>
    <t>RBAC-003</t>
  </si>
  <si>
    <t>STAFF truy cập trực tiếp route /admin/products</t>
  </si>
  <si>
    <t>Đăng nhập STAFF</t>
  </si>
  <si>
    <t>- /admin/products</t>
  </si>
  <si>
    <t>- Bị chặn/redirect trang phù hợp; không thấy dữ liệu admin.
- API admin nếu bị gọi trả 403.</t>
  </si>
  <si>
    <t>P0 | UI+API+Security | Automation: Yes | REQ-RBAC-01 | /admin/products</t>
  </si>
  <si>
    <t>RBAC-004</t>
  </si>
  <si>
    <t>ADMIN truy cập trực tiếp route /staff/pos</t>
  </si>
  <si>
    <t>Đăng nhập ADMIN</t>
  </si>
  <si>
    <t>- Bị chặn theo role hoặc chuyển /admin/dashboard; không thể tạo đơn staff trái quyền.</t>
  </si>
  <si>
    <t>P1 | UI+API+Security | Automation: Yes | REQ-RBAC-01 | /staff/pos</t>
  </si>
  <si>
    <t>RBAC-005</t>
  </si>
  <si>
    <t>STAFF gọi POST /api/products</t>
  </si>
  <si>
    <t>Token STAFF</t>
  </si>
  <si>
    <t>- POST /api/products</t>
  </si>
  <si>
    <t>- HTTP 403; DB không tạo product.</t>
  </si>
  <si>
    <t>P0 | UI+API+Security | Automation: Yes | REQ-RBAC-01 | POST /api/products</t>
  </si>
  <si>
    <t>RBAC-006</t>
  </si>
  <si>
    <t>STAFF gọi GET /api/reports/revenue</t>
  </si>
  <si>
    <t>- GET /api/reports/revenue</t>
  </si>
  <si>
    <t>- HTTP 403; không trả số liệu doanh thu toàn hệ thống.</t>
  </si>
  <si>
    <t>P0 | UI+API+Security | Automation: Yes | REQ-RBAC-01 | GET /api/reports/revenue</t>
  </si>
  <si>
    <t>RBAC-007</t>
  </si>
  <si>
    <t>STAFF gọi GET /api/users</t>
  </si>
  <si>
    <t>- GET /api/users</t>
  </si>
  <si>
    <t>- HTTP 403; không lộ danh sách user.</t>
  </si>
  <si>
    <t>P0 | UI+API+Security | Automation: Yes | REQ-RBAC-01 | GET /api/users</t>
  </si>
  <si>
    <t>RBAC-008</t>
  </si>
  <si>
    <t>ADMIN và STAFF đều truy cập được /profile</t>
  </si>
  <si>
    <t>Token hợp lệ từng role</t>
  </si>
  <si>
    <t>- /profile</t>
  </si>
  <si>
    <t>- Cả hai mở được profile của chính mình; không đọc profile người khác.</t>
  </si>
  <si>
    <t>P1 | UI+API+Security | Automation: Yes | REQ-RBAC-01 | /profile</t>
  </si>
  <si>
    <t>RBAC-009</t>
  </si>
  <si>
    <t>Token role bị sửa phía client không nâng quyền</t>
  </si>
  <si>
    <t>Token STAFF; sửa local user role=ADMIN nhưng không thể ký JWT</t>
  </si>
  <si>
    <t>- Backend dựa trên claim JWT đã verify/DB, không dựa UI state; trả 403/401.</t>
  </si>
  <si>
    <t>RBAC-010</t>
  </si>
  <si>
    <t>Endpoint không tồn tại trả 404 chuẩn</t>
  </si>
  <si>
    <t>Token bất kỳ</t>
  </si>
  <si>
    <t>- GET /api/not-exist</t>
  </si>
  <si>
    <t>- HTTP 404 JSON chuẩn; không trả HTML/stack trace.</t>
  </si>
  <si>
    <t>P2 | UI+API+Security | Automation: Yes | REQ-RBAC-01 | GET /api/not-exist</t>
  </si>
  <si>
    <t>DASH</t>
  </si>
  <si>
    <t>Kiểm thử Dashboard quản trị của hệ thống Mini Coffee POS &amp; Inventory System</t>
  </si>
  <si>
    <t>DASH-001</t>
  </si>
  <si>
    <t>Dashboard</t>
  </si>
  <si>
    <t>Tổng quan</t>
  </si>
  <si>
    <t>Hiển thị đúng 5 KPI trên dashboard</t>
  </si>
  <si>
    <t>Đăng nhập ADMIN; có dữ liệu orders, products, ingredients và cảnh báo tồn kho.</t>
  </si>
  <si>
    <t>1. Mở /admin/dashboard.
2. Chờ tất cả request hoàn tất.
3. Đối chiếu UI với dữ liệu chuẩn/API/DB.
4. Thực hiện thao tác bổ sung nếu nêu trong dữ liệu.</t>
  </si>
  <si>
    <t>- Doanh thu hôm nay, Đơn hàng hôm nay, Nguyên liệu sắp hết, Yêu cầu chờ duyệt, Tổng sản phẩm</t>
  </si>
  <si>
    <t>- Mỗi KPI khớp truy vấn nguồn tương ứng và định dạng VND/số nguyên.
- Không đếm dữ liệu soft-delete hoặc ngoài phạm vi ngày.</t>
  </si>
  <si>
    <t>P0 | UI+API+DB | Automation: Yes | REQ-DASH-01 | /admin/dashboard</t>
  </si>
  <si>
    <t>DASH-002</t>
  </si>
  <si>
    <t>Doanh thu hôm nay khớp báo cáo và đơn hàng</t>
  </si>
  <si>
    <t>- Tạo 2 đơn SUCCESS và 1 refund trong ngày</t>
  </si>
  <si>
    <t>- Doanh thu dashboard khớp quy tắc doanh thu thực tế trong Reports; không double count.</t>
  </si>
  <si>
    <t>DASH-003</t>
  </si>
  <si>
    <t>Cảnh báo nguyên liệu thấp hiển thị Sugar 50/100</t>
  </si>
  <si>
    <t>- Sugar current_stock=50, threshold=100</t>
  </si>
  <si>
    <t>- Thẻ cảnh báo đếm 1; banner ghi đúng Sugar và mức tồn/ngưỡng.
- Link điều chỉnh kho mở đúng trang.</t>
  </si>
  <si>
    <t>P1 | UI+API+DB | Automation: Yes | REQ-DASH-01 | /admin/dashboard</t>
  </si>
  <si>
    <t>DASH-004</t>
  </si>
  <si>
    <t>Biểu đồ doanh thu 7 ngày hiển thị theo đúng thứ tự ngày</t>
  </si>
  <si>
    <t>- Orders trong 7 ngày gồm ngày có/không có doanh thu</t>
  </si>
  <si>
    <t>- Đủ 7 mốc liên tiếp; ngày thiếu dữ liệu hiển thị 0; tổng từng cột đúng.</t>
  </si>
  <si>
    <t>DASH-005</t>
  </si>
  <si>
    <t>Danh sách đơn hàng gần đây sắp xếp mới nhất trước</t>
  </si>
  <si>
    <t>- Có nhiều đơn thời gian khác nhau</t>
  </si>
  <si>
    <t>- Đơn mới nhất ở đầu; mã đơn, giờ, số tiền đúng; giới hạn số dòng theo UI.</t>
  </si>
  <si>
    <t>DASH-006</t>
  </si>
  <si>
    <t>Nút Tải lại cập nhật dữ liệu không nhân đôi</t>
  </si>
  <si>
    <t>- Thay đổi dữ liệu ở backend sau lần tải đầu</t>
  </si>
  <si>
    <t>- Chỉ một lần reload dữ liệu; KPI/bảng cập nhật; không duplicate item hoặc giữ số liệu stale.</t>
  </si>
  <si>
    <t>P2 | UI+API+DB | Automation: Yes | REQ-DASH-01 | /admin/dashboard</t>
  </si>
  <si>
    <t>DASH-007</t>
  </si>
  <si>
    <t>Dashboard xử lý trạng thái không có dữ liệu</t>
  </si>
  <si>
    <t>- DB test không có orders, requests, low stock; có/không products</t>
  </si>
  <si>
    <t>- KPI về 0; biểu đồ/bảng có empty state; không lỗi chia 0/null/NaN.</t>
  </si>
  <si>
    <t>DASH-008</t>
  </si>
  <si>
    <t>Dashboard xử lý lỗi API có kiểm soát</t>
  </si>
  <si>
    <t>- Mock một endpoint dashboard trả 500</t>
  </si>
  <si>
    <t>- Hiển thị thông báo lỗi/retry; layout không crash; không lộ stack trace.</t>
  </si>
  <si>
    <t>PROD-001</t>
  </si>
  <si>
    <t>Sản phẩm</t>
  </si>
  <si>
    <t>Danh sách &amp; CRUD</t>
  </si>
  <si>
    <t>Danh sách sản phẩm chỉ hiển thị bản ghi chưa soft-delete</t>
  </si>
  <si>
    <t>Đăng nhập ADMIN; mở /admin/products; API/DB sẵn sàng; có dữ liệu nhiều tag và status.</t>
  </si>
  <si>
    <t>1. Mở trang/quyền tương ứng.
2. Chuẩn bị dữ liệu như cột Test data.
3. Thực hiện thao tác hoặc gửi request trực tiếp.
4. Đối chiếu UI, response và DB.</t>
  </si>
  <si>
    <t>- Bảng hiển thị ACTIVE/INACTIVE; không hiển thị sản phẩm đã xóa mềm.
- Mã SP, tên, tag, đơn giá, công thức, trạng thái đúng DB.</t>
  </si>
  <si>
    <t>P0 | UI+API+DB | Automation: Yes | REQ-PRODUCT-01 | /api/products</t>
  </si>
  <si>
    <t>PROD-002</t>
  </si>
  <si>
    <t>Tìm kiếm sản phẩm theo một phần tên không phân biệt hoa/thường</t>
  </si>
  <si>
    <t>- Từ khóa='coffee' và 'COFFEE'</t>
  </si>
  <si>
    <t>- Hai lần tìm trả cùng tập sản phẩm có tên chứa từ khóa; không có bản ghi không liên quan.</t>
  </si>
  <si>
    <t>P1 | UI+API | Automation: Yes | REQ-PRODUCT-01 | /api/products</t>
  </si>
  <si>
    <t>PROD-003</t>
  </si>
  <si>
    <t>Tìm kiếm với khoảng trắng đầu/cuối</t>
  </si>
  <si>
    <t>- Từ khóa='  Milk Coffee  '</t>
  </si>
  <si>
    <t>- Hệ thống trim hoặc xử lý nhất quán; tìm đúng Milk Coffee.</t>
  </si>
  <si>
    <t>P2 | UI+API | Automation: Yes | REQ-PRODUCT-01 | /api/products</t>
  </si>
  <si>
    <t>PROD-004</t>
  </si>
  <si>
    <t>Lọc theo trạng thái ACTIVE</t>
  </si>
  <si>
    <t>- Chỉ hiển thị sản phẩm hoạt động; badge đúng.</t>
  </si>
  <si>
    <t>PROD-005</t>
  </si>
  <si>
    <t>Lọc theo trạng thái INACTIVE</t>
  </si>
  <si>
    <t>PROD-006</t>
  </si>
  <si>
    <t>Lọc theo tag và kết hợp search/status</t>
  </si>
  <si>
    <t>- tag=Cà phê; status=ACTIVE; keyword=Americano</t>
  </si>
  <si>
    <t>- Kết quả thỏa đồng thời cả ba điều kiện; số lượng đúng.</t>
  </si>
  <si>
    <t>PROD-007</t>
  </si>
  <si>
    <t>Tải lại danh sách giữ/khôi phục bộ lọc theo thiết kế</t>
  </si>
  <si>
    <t>- Dữ liệu được reload không duplicate; trạng thái bộ lọc nhất quán theo yêu cầu UI.</t>
  </si>
  <si>
    <t>P2 | UI | Automation: Yes | REQ-PRODUCT-01 | /api/products</t>
  </si>
  <si>
    <t>PROD-008</t>
  </si>
  <si>
    <t>Mở form thêm sản phẩm từ nút Thêm sản phẩm</t>
  </si>
  <si>
    <t>- Form/modal mở đúng; các trường tên, giá, tag/status có giá trị mặc định hợp lý; có nút lưu/hủy.</t>
  </si>
  <si>
    <t>PROD-009</t>
  </si>
  <si>
    <t>Tạo sản phẩm hợp lệ</t>
  </si>
  <si>
    <t>- POST thành công; DB tạo một product, created_by=admin, deleted_at=NULL.
- Danh sách cập nhật và giá định dạng 45.000 ₫.</t>
  </si>
  <si>
    <t>PROD-010</t>
  </si>
  <si>
    <t>Tên sản phẩm unique không phân biệt hoa/thường</t>
  </si>
  <si>
    <t>- Đã có 'Milk Coffee'; tạo 'milk coffee'</t>
  </si>
  <si>
    <t>- API từ chối conflict/validation; không tạo bản ghi thứ hai.</t>
  </si>
  <si>
    <t>PROD-011</t>
  </si>
  <si>
    <t>Tên sản phẩm đúng 63 ký tự được chấp nhận</t>
  </si>
  <si>
    <t>- name=chuỗi 63 ký tự; price=10000</t>
  </si>
  <si>
    <t>- Tạo thành công, lưu đủ 63 ký tự.</t>
  </si>
  <si>
    <t>P1 | UI+API+DB | Automation: Yes | REQ-PRODUCT-01 | /api/products</t>
  </si>
  <si>
    <t>PROD-012</t>
  </si>
  <si>
    <t>Tên sản phẩm 64 ký tự bị từ chối</t>
  </si>
  <si>
    <t>- name=chuỗi 64 ký tự; price=10000</t>
  </si>
  <si>
    <t>- UI/API báo tối đa 63; DB không truncate và không tạo.</t>
  </si>
  <si>
    <t>PROD-013</t>
  </si>
  <si>
    <t>Tên trống hoặc chỉ khoảng trắng bị từ chối</t>
  </si>
  <si>
    <t>- name='   '; price=10000</t>
  </si>
  <si>
    <t>- Thông báo bắt buộc; không gửi hoặc API 400; không tạo.</t>
  </si>
  <si>
    <t>P0 | UI+API | Automation: Yes | REQ-PRODUCT-01 | /api/products</t>
  </si>
  <si>
    <t>PROD-014</t>
  </si>
  <si>
    <t>Giá bằng 0 bị từ chối</t>
  </si>
  <si>
    <t>- name=Zero Price; price=0</t>
  </si>
  <si>
    <t>- Validation giá phải &gt;0; không tạo.</t>
  </si>
  <si>
    <t>PROD-015</t>
  </si>
  <si>
    <t>Giá âm bị từ chối</t>
  </si>
  <si>
    <t>- name=Negative Price; price=-1000</t>
  </si>
  <si>
    <t>PROD-016</t>
  </si>
  <si>
    <t>Giá thập phân được xử lý đúng NUMERIC</t>
  </si>
  <si>
    <t>- name=Decimal Price; price=25000.50</t>
  </si>
  <si>
    <t>- Hệ thống lưu/hiển thị theo quy tắc tiền tệ; không sai số floating; subtotal sau bán đúng.</t>
  </si>
  <si>
    <t>PROD-017</t>
  </si>
  <si>
    <t>Payload status ngoài enum bị từ chối</t>
  </si>
  <si>
    <t>- API 400; không tạo/không lỗi 500.</t>
  </si>
  <si>
    <t>P1 | API | Automation: Yes | REQ-PRODUCT-01 | /api/products</t>
  </si>
  <si>
    <t>PROD-018</t>
  </si>
  <si>
    <t>Tag tự nhận diện từ tên sản phẩm</t>
  </si>
  <si>
    <t>- Tag được suy ra đúng nhóm theo rule hiện hành hoặc giá trị form được gợi ý đúng; lưu nhất quán.</t>
  </si>
  <si>
    <t>P2 | UI+API | Automation: Partial | REQ-PRODUCT-01 | /api/products</t>
  </si>
  <si>
    <t>PROD-019</t>
  </si>
  <si>
    <t>Cập nhật tên, giá, tag, status sản phẩm</t>
  </si>
  <si>
    <t>- PATCH thành công; chỉ field cho phép thay đổi; danh sách/chi tiết phản ánh dữ liệu mới.</t>
  </si>
  <si>
    <t>PROD-020</t>
  </si>
  <si>
    <t>Chuyển sản phẩm ACTIVE sang INACTIVE</t>
  </si>
  <si>
    <t>- Status đổi INACTIVE; sản phẩm không còn khả dụng để bán tại POS sau reload.</t>
  </si>
  <si>
    <t>PROD-021</t>
  </si>
  <si>
    <t>Sửa thành tên trùng sản phẩm khác bị từ chối</t>
  </si>
  <si>
    <t>- API conflict; Product A giữ dữ liệu cũ.</t>
  </si>
  <si>
    <t>PROD-022</t>
  </si>
  <si>
    <t>Soft delete sản phẩm thành công</t>
  </si>
  <si>
    <t>- DELETE thành công; deleted_at được set; không xuất hiện danh sách mặc định/POS.
- Dữ liệu lịch sử order_items snapshot không mất.</t>
  </si>
  <si>
    <t>PROD-023</t>
  </si>
  <si>
    <t>Gọi lại DELETE với sản phẩm đã soft-delete</t>
  </si>
  <si>
    <t>- Trả 404/idempotent response theo chuẩn; không tạo lỗi 500 và không đổi lịch sử.</t>
  </si>
  <si>
    <t>P2 | API+DB | Automation: Yes | REQ-PRODUCT-01 | /api/products</t>
  </si>
  <si>
    <t>PROD-024</t>
  </si>
  <si>
    <t>STAFF chỉ được đọc sản phẩm phục vụ POS, không được tạo/sửa/xóa</t>
  </si>
  <si>
    <t>- Token STAFF</t>
  </si>
  <si>
    <t>- Các request write trả 403; UI staff không có nút quản trị.</t>
  </si>
  <si>
    <t>P0 | UI+API+Security | Automation: Yes | REQ-PRODUCT-01 | /api/products</t>
  </si>
  <si>
    <t>RECIPE</t>
  </si>
  <si>
    <t>Kiểm thử quản lý công thức của hệ thống Mini Coffee POS &amp; Inventory System</t>
  </si>
  <si>
    <t>RECP-001</t>
  </si>
  <si>
    <t>Công thức</t>
  </si>
  <si>
    <t>Quản lý định lượng</t>
  </si>
  <si>
    <t>Danh sách công thức hiển thị đúng trạng thái theo sản phẩm</t>
  </si>
  <si>
    <t>Đăng nhập ADMIN; có product chưa có recipe và ingredients chưa xóa; mở tab Định lượng công thức hoặc /admin/recipes.</t>
  </si>
  <si>
    <t>1. Mở tab công thức/chọn sản phẩm.
2. Nhập danh sách nguyên liệu và định lượng theo dữ liệu.
3. Lưu hoặc gửi request API.
4. Kiểm tra response, UI, bảng recipes/recipe_items và tác động POS nếu có.</t>
  </si>
  <si>
    <t>- Có product có recipe và product chưa có recipe</t>
  </si>
  <si>
    <t>- UI phân biệt 'Đã thiết lập'/'Chưa thiết lập'; nguyên liệu và định lượng đúng DB.</t>
  </si>
  <si>
    <t>P1 | UI+API+DB | Automation: Yes | REQ-RECIPE-01 | /api/recipes</t>
  </si>
  <si>
    <t>RECP-002</t>
  </si>
  <si>
    <t>Tạo công thức một nguyên liệu cho sản phẩm chưa có recipe</t>
  </si>
  <si>
    <t>- Black Coffee; Coffee bean 15 GRAM</t>
  </si>
  <si>
    <t>- Tạo recipes và recipe_items thành công; đúng product_id/ingredient_id/quantity_required/created_by.</t>
  </si>
  <si>
    <t>P0 | UI+API+DB | Automation: Yes | REQ-RECIPE-01 | /api/recipes</t>
  </si>
  <si>
    <t>RECP-003</t>
  </si>
  <si>
    <t>Tạo công thức nhiều nguyên liệu</t>
  </si>
  <si>
    <t>- Milk Coffee: Coffee bean 15g, Milk 50ml, Sugar 5g</t>
  </si>
  <si>
    <t>- Một recipe có đủ 3 recipe_items; không mất/sai unit; thứ tự UI nhất quán.</t>
  </si>
  <si>
    <t>RECP-004</t>
  </si>
  <si>
    <t>Mỗi sản phẩm chỉ có đúng một công thức</t>
  </si>
  <si>
    <t>- Product đã có recipe; gửi create lần hai</t>
  </si>
  <si>
    <t>- API từ chối conflict; không tạo recipe thứ hai.</t>
  </si>
  <si>
    <t>RECP-005</t>
  </si>
  <si>
    <t>Không cho cùng một nguyên liệu lặp hai dòng trong một công thức</t>
  </si>
  <si>
    <t>- Coffee bean xuất hiện 2 dòng</t>
  </si>
  <si>
    <t>- UI/API báo trùng hoặc hợp nhất theo rule rõ ràng; DB không có duplicate recipe_item gây trừ kho hai lần ngoài ý muốn.</t>
  </si>
  <si>
    <t>RECP-006</t>
  </si>
  <si>
    <t>quantity_required phải lớn hơn 0</t>
  </si>
  <si>
    <t>- quantity_required=0</t>
  </si>
  <si>
    <t>- Validation 400; không tạo/cập nhật recipe_item.</t>
  </si>
  <si>
    <t>RECP-007</t>
  </si>
  <si>
    <t>quantity_required âm bị từ chối</t>
  </si>
  <si>
    <t>- quantity_required=-5</t>
  </si>
  <si>
    <t>- Validation 400; dữ liệu cũ giữ nguyên.</t>
  </si>
  <si>
    <t>RECP-008</t>
  </si>
  <si>
    <t>quantity_required thập phân hợp lệ</t>
  </si>
  <si>
    <t>- quantity_required=12.5 GRAM</t>
  </si>
  <si>
    <t>- Lưu chính xác NUMERIC; khi bán 2 sản phẩm trừ 25 GRAM.</t>
  </si>
  <si>
    <t>RECP-009</t>
  </si>
  <si>
    <t>Không cho dùng ingredient đã soft-delete</t>
  </si>
  <si>
    <t>- ingredient_id có deleted_at</t>
  </si>
  <si>
    <t>- API 404/validation; recipe không tham chiếu nguyên liệu đã xóa.</t>
  </si>
  <si>
    <t>RECP-010</t>
  </si>
  <si>
    <t>Cập nhật công thức thay đổi số lượng và nguyên liệu</t>
  </si>
  <si>
    <t>- Thay Sugar 5g thành 7.5g; thêm Milk</t>
  </si>
  <si>
    <t>- Recipe items cập nhật atomically; lần bán sau dùng công thức mới; đơn cũ không bị đổi snapshot/giao dịch kho.</t>
  </si>
  <si>
    <t>RECP-011</t>
  </si>
  <si>
    <t>Xóa công thức làm sản phẩm không thể bán</t>
  </si>
  <si>
    <t>- Xóa recipe của product ACTIVE</t>
  </si>
  <si>
    <t>- Recipe soft-delete/removed; UI product hiển thị Chưa thiết lập; POS/order API từ chối product này.</t>
  </si>
  <si>
    <t>RECP-012</t>
  </si>
  <si>
    <t>Rollback toàn bộ khi một dòng công thức không hợp lệ</t>
  </si>
  <si>
    <t>- Một item hợp lệ, một ingredient_id không tồn tại</t>
  </si>
  <si>
    <t>- Không tạo recipe hoặc recipe_items dở dang; transaction rollback.</t>
  </si>
  <si>
    <t>RECP-013</t>
  </si>
  <si>
    <t>STAFF không thể tạo/sửa/xóa công thức</t>
  </si>
  <si>
    <t>- API write trả 403; menu quản trị không hiển thị.</t>
  </si>
  <si>
    <t>ING</t>
  </si>
  <si>
    <t>Kiểm thử quản lý nguyên liệu của hệ thống Mini Coffee POS &amp; Inventory System</t>
  </si>
  <si>
    <t>INGR-001</t>
  </si>
  <si>
    <t>Nguyên liệu</t>
  </si>
  <si>
    <t>Danh mục nguyên liệu</t>
  </si>
  <si>
    <t>Danh sách nguyên liệu hiển thị đúng tồn hiện tại, ngưỡng, unit, tag và cảnh báo</t>
  </si>
  <si>
    <t>Đăng nhập ADMIN; mở /admin/ingredients; có dữ liệu seed Coffee bean, Milk, Sugar.</t>
  </si>
  <si>
    <t>1. Mở trang hoặc gọi endpoint tương ứng.
2. Áp dụng dữ liệu kiểm thử.
3. Thực hiện tìm/lọc/CRUD.
4. Đối chiếu UI, API, DB và view cảnh báo.</t>
  </si>
  <si>
    <t>- Sugar=50 GRAM, threshold=100; Milk=1000/100</t>
  </si>
  <si>
    <t>- Sugar có cảnh báo Sắp hết hàng; Milk an toàn; dữ liệu khớp DB; bỏ bản ghi soft-delete.</t>
  </si>
  <si>
    <t>P0 | UI+API+DB | Automation: Yes | REQ-INGREDIENT-01 | /api/ingredients</t>
  </si>
  <si>
    <t>INGR-002</t>
  </si>
  <si>
    <t>Tìm kiếm nguyên liệu theo một phần tên không phân biệt hoa/thường</t>
  </si>
  <si>
    <t>- keyword='coffee' và 'COFFEE'</t>
  </si>
  <si>
    <t>- Kết quả giống nhau, chỉ chứa tên phù hợp.</t>
  </si>
  <si>
    <t>P1 | UI+API+DB | Automation: Yes | REQ-INGREDIENT-01 | /api/ingredients</t>
  </si>
  <si>
    <t>INGR-003</t>
  </si>
  <si>
    <t>Lọc theo trạng thái tồn kho thấp</t>
  </si>
  <si>
    <t>- stock status=low</t>
  </si>
  <si>
    <t>- Chỉ current_stock &lt; low_stock_threshold; trường hợp bằng ngưỡng không bị coi là thấp.</t>
  </si>
  <si>
    <t>INGR-004</t>
  </si>
  <si>
    <t>Lọc theo tag và kết hợp từ khóa</t>
  </si>
  <si>
    <t>- tag=Bột cà phê; keyword=bean</t>
  </si>
  <si>
    <t>- Kết quả thỏa đồng thời; reset filter trả lại danh sách.</t>
  </si>
  <si>
    <t>INGR-005</t>
  </si>
  <si>
    <t>Tạo nguyên liệu hợp lệ với từng đơn vị hỗ trợ</t>
  </si>
  <si>
    <t>- unit lần lượt GRAM, ML, PIECE, LITER, KG, OTHER</t>
  </si>
  <si>
    <t>- Mỗi enum hợp lệ được chấp nhận; UI hiển thị đúng unit; created_by=admin.</t>
  </si>
  <si>
    <t>INGR-006</t>
  </si>
  <si>
    <t>Tên nguyên liệu trống/chỉ khoảng trắng bị từ chối</t>
  </si>
  <si>
    <t>- name='   '</t>
  </si>
  <si>
    <t>- Báo bắt buộc; không tạo.</t>
  </si>
  <si>
    <t>INGR-007</t>
  </si>
  <si>
    <t>Payload unit ngoài enum bị từ chối</t>
  </si>
  <si>
    <t>- unit=BOX</t>
  </si>
  <si>
    <t>INGR-008</t>
  </si>
  <si>
    <t>current_stock âm khi tạo bị từ chối</t>
  </si>
  <si>
    <t>- current_stock=-1</t>
  </si>
  <si>
    <t>- Không cho tồn kho âm; DB không tạo.</t>
  </si>
  <si>
    <t>INGR-009</t>
  </si>
  <si>
    <t>low_stock_threshold âm bị từ chối</t>
  </si>
  <si>
    <t>- threshold=-1</t>
  </si>
  <si>
    <t>- Validation lỗi; không tạo.</t>
  </si>
  <si>
    <t>INGR-010</t>
  </si>
  <si>
    <t>Ngưỡng bằng 0 được lưu và không cảnh báo khi stock=0 theo điều kiện strict '&lt;'</t>
  </si>
  <si>
    <t>- current_stock=0; threshold=0</t>
  </si>
  <si>
    <t>- Không bị đánh dấu low stock nếu rule đúng current_stock &lt; threshold; dữ liệu số không null/NaN.</t>
  </si>
  <si>
    <t>P2 | UI+API+DB | Automation: Yes | REQ-INGREDIENT-01 | /api/ingredients</t>
  </si>
  <si>
    <t>INGR-011</t>
  </si>
  <si>
    <t>Trường hợp stock đúng bằng threshold không cảnh báo</t>
  </si>
  <si>
    <t>- current_stock=100; threshold=100</t>
  </si>
  <si>
    <t>- Badge trạng thái An toàn/không low stock; view v_low_stock không chứa bản ghi.</t>
  </si>
  <si>
    <t>INGR-012</t>
  </si>
  <si>
    <t>Trường hợp stock thấp hơn threshold một đơn vị có cảnh báo</t>
  </si>
  <si>
    <t>- current_stock=99; threshold=100</t>
  </si>
  <si>
    <t>- Badge Sắp hết hàng; dashboard/report low stock đếm đúng.</t>
  </si>
  <si>
    <t>INGR-013</t>
  </si>
  <si>
    <t>Cập nhật name, tag, unit, threshold</t>
  </si>
  <si>
    <t>- Chọn ingredient chưa dùng hoặc dữ liệu test</t>
  </si>
  <si>
    <t>- PATCH thành công; danh sách cập nhật; current_stock không bị thay đổi nếu payload không chứa.</t>
  </si>
  <si>
    <t>INGR-014</t>
  </si>
  <si>
    <t>Không cho sửa tồn kho qua endpoint ingredient nếu nghiệp vụ yêu cầu dùng Stock</t>
  </si>
  <si>
    <t>- PATCH current_stock trực tiếp</t>
  </si>
  <si>
    <t>- API bỏ qua/từ chối field không cho phép; mọi thay đổi tồn phải qua stock transaction.</t>
  </si>
  <si>
    <t>INGR-015</t>
  </si>
  <si>
    <t>Soft delete nguyên liệu thành công</t>
  </si>
  <si>
    <t>- Ingredient không bị ràng buộc hoặc xử lý ràng buộc hợp lệ</t>
  </si>
  <si>
    <t>- deleted_at được set; không hiển thị danh sách/nhập kho mới; lịch sử transaction vẫn còn.</t>
  </si>
  <si>
    <t>INGR-016</t>
  </si>
  <si>
    <t>Xóa nguyên liệu đang dùng trong recipe được xử lý an toàn</t>
  </si>
  <si>
    <t>- Ingredient đang thuộc recipe active</t>
  </si>
  <si>
    <t>- Hệ thống chặn với thông báo ràng buộc hoặc soft-delete nhưng order API không dùng recipe hỏng; không tạo dữ liệu mồ côi.</t>
  </si>
  <si>
    <t>INGR-017</t>
  </si>
  <si>
    <t>STAFF không thể tạo/sửa/xóa danh mục nguyên liệu</t>
  </si>
  <si>
    <t>- API CRUD quản trị trả 403; staff chỉ thao tác stock được cho phép.</t>
  </si>
  <si>
    <t>STK-001</t>
  </si>
  <si>
    <t>Quản lý kho</t>
  </si>
  <si>
    <t>Nhập kho, kiểm kho, điều chỉnh &amp; dự báo</t>
  </si>
  <si>
    <t>Nhập kho đơn lẻ thành công</t>
  </si>
  <si>
    <t>Đăng nhập ADMIN hoặc STAFF theo quyền; mở /admin/stock hoặc /staff/stock; có ingredients ACTIVE với tồn kho biết trước.</t>
  </si>
  <si>
    <t>1. Chuẩn bị tồn kho và user đúng vai trò.
2. Thực hiện thao tác trên UI hoặc gửi request tương ứng.
3. Kiểm tra thông báo/response.
4. Đối chiếu ingredients.current_stock và stock_transactions; kiểm tra rollback nếu lỗi.</t>
  </si>
  <si>
    <t>- ingredient=Coffee bean; before=1000g; quantity=500g; note='Nhập NCC A'</t>
  </si>
  <si>
    <t>- current_stock=1500; tạo 1 stock_transaction type=IMPORT, quantity=500, before=1000, after=1500, created_by đúng user.
- UI thông báo thành công và cập nhật tồn.</t>
  </si>
  <si>
    <t>P0 | UI+API+DB | Automation: Yes | REQ-STOCK-01 | POST /api/stock/import</t>
  </si>
  <si>
    <t>STK-002</t>
  </si>
  <si>
    <t>Nhập kho số lượng thập phân hợp lệ</t>
  </si>
  <si>
    <t>- ingredient=Milk; before=1000ml; quantity=250.5ml</t>
  </si>
  <si>
    <t>- after=1250.5; không sai số; transaction ghi chính xác NUMERIC.</t>
  </si>
  <si>
    <t>P1 | UI+API+DB | Automation: Yes | REQ-STOCK-01 | POST /api/stock/import</t>
  </si>
  <si>
    <t>STK-003</t>
  </si>
  <si>
    <t>Nhập kho quantity=0 bị từ chối</t>
  </si>
  <si>
    <t>- quantity=0</t>
  </si>
  <si>
    <t>- API 400; tồn kho và transaction không đổi.</t>
  </si>
  <si>
    <t>STK-004</t>
  </si>
  <si>
    <t>Nhập kho quantity âm bị từ chối</t>
  </si>
  <si>
    <t>- quantity=-10</t>
  </si>
  <si>
    <t>- API 400; không tạo transaction.</t>
  </si>
  <si>
    <t>STK-005</t>
  </si>
  <si>
    <t>Nhập kho ingredient không tồn tại bị từ chối</t>
  </si>
  <si>
    <t>- ingredient_id=random UUID</t>
  </si>
  <si>
    <t>- HTTP 404/400; không tạo transaction.</t>
  </si>
  <si>
    <t>P0 | API+DB | Automation: Yes | REQ-STOCK-01 | POST /api/stock/import</t>
  </si>
  <si>
    <t>STK-006</t>
  </si>
  <si>
    <t>Nhập kho ingredient đã soft-delete bị từ chối</t>
  </si>
  <si>
    <t>- ingredient_id deleted_at</t>
  </si>
  <si>
    <t>- Không tăng tồn hoặc tạo transaction cho bản ghi đã xóa.</t>
  </si>
  <si>
    <t>STK-007</t>
  </si>
  <si>
    <t>Ghi chú nhập kho được lưu đúng Unicode và escape</t>
  </si>
  <si>
    <t>- note='Nhập NCC số 1 – lô 07/2026 &lt;b&gt;test&lt;/b&gt;'</t>
  </si>
  <si>
    <t>- Note lưu đủ Unicode; UI hiển thị text, không render HTML/XSS.</t>
  </si>
  <si>
    <t>P2 | UI+API+DB | Automation: Yes | REQ-STOCK-01 | POST /api/stock/import</t>
  </si>
  <si>
    <t>STK-008</t>
  </si>
  <si>
    <t>Nhập kho hàng loạt thành công cho nhiều nguyên liệu</t>
  </si>
  <si>
    <t>- Coffee bean +100; Milk +200; Sugar +300</t>
  </si>
  <si>
    <t>- Tất cả current_stock tăng đúng; mỗi nguyên liệu có transaction IMPORT; cùng user/note chung nếu có.
- Response tổng hợp đúng số dòng.</t>
  </si>
  <si>
    <t>P0 | UI+API+DB | Automation: Yes | REQ-STOCK-01 | POST /api/stock/import/batch</t>
  </si>
  <si>
    <t>STK-009</t>
  </si>
  <si>
    <t>Batch có một dòng invalid phải rollback toàn bộ</t>
  </si>
  <si>
    <t>- Dòng 1 +100 hợp lệ; dòng 2 ingredient_id không tồn tại</t>
  </si>
  <si>
    <t>- Không nguyên liệu nào thay đổi; không transaction dở dang; API báo rõ dòng lỗi.</t>
  </si>
  <si>
    <t>P0 | API+DB | Automation: Yes | REQ-STOCK-01 | POST /api/stock/import/batch</t>
  </si>
  <si>
    <t>STK-010</t>
  </si>
  <si>
    <t>Batch có quantity=0/âm ở một dòng bị từ chối atomically</t>
  </si>
  <si>
    <t>- Dòng 1 +100; dòng 2 -5</t>
  </si>
  <si>
    <t>- Rollback toàn bộ batch; không thay đổi stock.</t>
  </si>
  <si>
    <t>STK-011</t>
  </si>
  <si>
    <t>Batch chứa lặp cùng ingredient xử lý nhất quán</t>
  </si>
  <si>
    <t>- Hai dòng Coffee bean +100 và +50</t>
  </si>
  <si>
    <t>- Hệ thống từ chối duplicate hoặc cộng tổng 150 theo rule được công bố; không lost update/ghi sai before-after.</t>
  </si>
  <si>
    <t>P1 | API+DB | Automation: Partial | REQ-STOCK-01 | POST /api/stock/import/batch</t>
  </si>
  <si>
    <t>STK-012</t>
  </si>
  <si>
    <t>Nhập batch số lượng lớn trong giới hạn</t>
  </si>
  <si>
    <t>- 100 dòng ingredient test hợp lệ</t>
  </si>
  <si>
    <t>- Hoàn tất trong SLA; không timeout; tất cả dữ liệu chính xác và atomic.</t>
  </si>
  <si>
    <t>P2 | API+Performance | Automation: Yes | REQ-STOCK-01 | POST /api/stock/import/batch</t>
  </si>
  <si>
    <t>STK-013</t>
  </si>
  <si>
    <t>Điều chỉnh tăng tồn kho thủ công</t>
  </si>
  <si>
    <t>- before=100; adjust=+20; note='Sai số kiểm kê'</t>
  </si>
  <si>
    <t>- after=120; transaction type=ADJUST, quantity=20, before/after đúng.</t>
  </si>
  <si>
    <t>P0 | UI+API+DB | Automation: Yes | REQ-STOCK-01 | POST /api/stock/adjust</t>
  </si>
  <si>
    <t>STK-014</t>
  </si>
  <si>
    <t>Điều chỉnh giảm tồn kho thủ công nhưng không âm</t>
  </si>
  <si>
    <t>- before=100; adjust=-20</t>
  </si>
  <si>
    <t>- after=80; transaction ADJUST quantity=-20 hoặc quy ước dấu nhất quán.</t>
  </si>
  <si>
    <t>STK-015</t>
  </si>
  <si>
    <t>Điều chỉnh giảm đúng bằng tồn kho</t>
  </si>
  <si>
    <t>- before=100; adjust=-100</t>
  </si>
  <si>
    <t>- after=0; chấp nhận; low-stock cảnh báo cập nhật.</t>
  </si>
  <si>
    <t>STK-016</t>
  </si>
  <si>
    <t>Điều chỉnh làm tồn kho âm bị từ chối</t>
  </si>
  <si>
    <t>- before=100; adjust=-101</t>
  </si>
  <si>
    <t>- API 400; stock vẫn 100; không transaction.</t>
  </si>
  <si>
    <t>STK-017</t>
  </si>
  <si>
    <t>Điều chỉnh quantity=0 bị từ chối/không tạo giao dịch rỗng</t>
  </si>
  <si>
    <t>- adjust=0</t>
  </si>
  <si>
    <t>- Không tạo ADJUST vô nghĩa; stock giữ nguyên.</t>
  </si>
  <si>
    <t>P1 | API+DB | Automation: Yes | REQ-STOCK-01 | POST /api/stock/adjust</t>
  </si>
  <si>
    <t>STK-018</t>
  </si>
  <si>
    <t>Kiểm kho hàng ngày bằng đúng số hệ thống</t>
  </si>
  <si>
    <t>- system=100; actual=100</t>
  </si>
  <si>
    <t>- Không tạo ADJUST; response discrepancy=0; có thể ghi nhận count theo thiết kế nhưng không đổi tồn.</t>
  </si>
  <si>
    <t>P1 | UI+API+DB | Automation: Yes | REQ-STOCK-01 | POST /api/stock/count/daily</t>
  </si>
  <si>
    <t>STK-019</t>
  </si>
  <si>
    <t>Kiểm kho actual cao hơn tạo ADJUST tăng</t>
  </si>
  <si>
    <t>- system=100; actual=105</t>
  </si>
  <si>
    <t>- Tạo ADJUST +5, before=100, after=105; ghi chú liên kết kiểm kho.</t>
  </si>
  <si>
    <t>P0 | UI+API+DB | Automation: Yes | REQ-STOCK-01 | POST /api/stock/count/daily</t>
  </si>
  <si>
    <t>STK-020</t>
  </si>
  <si>
    <t>Kiểm kho actual thấp hơn tạo ADJUST giảm</t>
  </si>
  <si>
    <t>- system=100; actual=95</t>
  </si>
  <si>
    <t>- Tạo ADJUST -5, after=95; cảnh báo cập nhật nếu dưới ngưỡng.</t>
  </si>
  <si>
    <t>STK-021</t>
  </si>
  <si>
    <t>Kiểm kho actual âm bị từ chối</t>
  </si>
  <si>
    <t>- actual=-1</t>
  </si>
  <si>
    <t>- API 400; không đổi stock/transaction.</t>
  </si>
  <si>
    <t>STK-022</t>
  </si>
  <si>
    <t>Kiểm kho nhiều nguyên liệu atomically khi một dòng lỗi</t>
  </si>
  <si>
    <t>- Dòng hợp lệ + một dòng actual âm</t>
  </si>
  <si>
    <t>- Không cập nhật nửa chừng; trả chi tiết lỗi.</t>
  </si>
  <si>
    <t>P0 | API+DB | Automation: Yes | REQ-STOCK-01 | POST /api/stock/count/daily</t>
  </si>
  <si>
    <t>STK-023</t>
  </si>
  <si>
    <t>Hủy hàng thành công</t>
  </si>
  <si>
    <t>- ingredient=Milk; before=100; quantity=10; reason='Hết hạn'</t>
  </si>
  <si>
    <t>- after=90; stock_transaction thể hiện DISCARD theo service hoặc ADJUST với note bắt đầu '[HỦY HÀNG]'; báo cáo discard đọc được.
- created_by/reason đúng.</t>
  </si>
  <si>
    <t>P0 | UI+API+DB | Automation: Yes | REQ-STOCK-01 | POST /api/stock/discard</t>
  </si>
  <si>
    <t>STK-024</t>
  </si>
  <si>
    <t>Hủy hàng bắt buộc lý do/ghi chú</t>
  </si>
  <si>
    <t>- quantity=10; note=''</t>
  </si>
  <si>
    <t>- Validation lỗi; stock không đổi.</t>
  </si>
  <si>
    <t>STK-025</t>
  </si>
  <si>
    <t>Hủy hàng vượt quá tồn bị từ chối</t>
  </si>
  <si>
    <t>- before=10; discard=11</t>
  </si>
  <si>
    <t>- Không âm stock; không transaction.</t>
  </si>
  <si>
    <t>STK-026</t>
  </si>
  <si>
    <t>Hủy hàng quantity=0 hoặc âm bị từ chối</t>
  </si>
  <si>
    <t>- quantity=0 và -1</t>
  </si>
  <si>
    <t>- Validation; không tạo giao dịch.</t>
  </si>
  <si>
    <t>STK-027</t>
  </si>
  <si>
    <t>Lịch sử giao dịch chỉ ADMIN xem được</t>
  </si>
  <si>
    <t>- ADMIN gọi thành công; STAFF gọi trực tiếp</t>
  </si>
  <si>
    <t>- ADMIN nhận các cột type, quantity, before, after, note, created_by, time; STAFF bị 403.</t>
  </si>
  <si>
    <t>P0 | UI+API+Security | Automation: Yes | REQ-STOCK-01 | GET /api/stock/transactions</t>
  </si>
  <si>
    <t>STK-028</t>
  </si>
  <si>
    <t>Lịch sử giao dịch lọc/sắp xếp chính xác</t>
  </si>
  <si>
    <t>- Nhiều type, ingredient, date</t>
  </si>
  <si>
    <t>- Filter trả đúng tập; mặc định mới nhất trước; không lẫn deleted ingredient sai join.</t>
  </si>
  <si>
    <t>P1 | UI+API | Automation: Yes | REQ-STOCK-01 | GET /api/stock/transactions</t>
  </si>
  <si>
    <t>STK-029</t>
  </si>
  <si>
    <t>Dự báo kho chỉ ADMIN truy cập và tính từ lịch sử tiêu thụ</t>
  </si>
  <si>
    <t>- Có ORDER_DEDUCT nhiều ngày</t>
  </si>
  <si>
    <t>- ADMIN xem forecast hợp lý dựa dữ liệu; STAFF 403; không chia 0 khi chưa có tiêu thụ.</t>
  </si>
  <si>
    <t>P1 | UI+API | Automation: Partial | REQ-STOCK-01 | GET /api/stock/forecast</t>
  </si>
  <si>
    <t>STK-030</t>
  </si>
  <si>
    <t>Xuất file Excel danh sách nhập kho đúng cấu trúc</t>
  </si>
  <si>
    <t>- Nhấn Tải file mẫu Excel</t>
  </si>
  <si>
    <t>- Tải được .xlsx mở không lỗi; có các cột/mã nguyên liệu cần thiết; dữ liệu/đơn vị khớp UI.</t>
  </si>
  <si>
    <t>P2 | UI+File | Automation: Partial | REQ-STOCK-01 | /admin/stock</t>
  </si>
  <si>
    <t>STK-031</t>
  </si>
  <si>
    <t>Nạp file Excel hợp lệ và xác nhận nhập</t>
  </si>
  <si>
    <t>- File đúng template; 3 dòng quantity hợp lệ</t>
  </si>
  <si>
    <t>- Preview/parse đúng; xác nhận tạo batch import; số lượng cập nhật chính xác; không nhập lặp ngoài một lần.</t>
  </si>
  <si>
    <t>P1 | UI+API+File+DB | Automation: Partial | REQ-STOCK-01 | POST /api/stock/import/batch</t>
  </si>
  <si>
    <t>STK-032</t>
  </si>
  <si>
    <t>Nạp file Excel sai cột/kiểu dữ liệu</t>
  </si>
  <si>
    <t>- Thiếu mã NL; quantity='abc'</t>
  </si>
  <si>
    <t>- Hiển thị lỗi từng dòng/cột; không nhập dữ liệu invalid; không crash.</t>
  </si>
  <si>
    <t>P1 | UI+File | Automation: Partial | REQ-STOCK-01 | /admin/stock</t>
  </si>
  <si>
    <t>STK-033</t>
  </si>
  <si>
    <t>Hai request nhập kho đồng thời không làm mất cập nhật</t>
  </si>
  <si>
    <t>- before=100; hai request +10 và +20 đồng thời</t>
  </si>
  <si>
    <t>- Final=130; transaction before/after tuần tự hợp lệ; không lost update.</t>
  </si>
  <si>
    <t>P0 | API+DB+Concurrency | Automation: Yes | REQ-STOCK-01 | POST /api/stock/import</t>
  </si>
  <si>
    <t>STK-034</t>
  </si>
  <si>
    <t>ORDER_DEDUCT đồng thời với IMPORT/ADJUST giữ dữ liệu nhất quán</t>
  </si>
  <si>
    <t>- Bán dùng 30g đồng thời nhập +100g</t>
  </si>
  <si>
    <t>- Lock/transaction đảm bảo final stock theo tổng đại số; không số âm hoặc before-after chồng chéo sai.</t>
  </si>
  <si>
    <t>P0 | API+DB+Concurrency | Automation: Partial | REQ-STOCK-01 | /api/stock</t>
  </si>
  <si>
    <t>SESSION</t>
  </si>
  <si>
    <t>Kiểm thử ca bán hàng POS của hệ thống Mini Coffee POS &amp; Inventory System</t>
  </si>
  <si>
    <t>POSS-001</t>
  </si>
  <si>
    <t>POS Session</t>
  </si>
  <si>
    <t>Mở/đếm/kết ca</t>
  </si>
  <si>
    <t>GET active khi chưa mở ca</t>
  </si>
  <si>
    <t>Đăng nhập STAFF; mở /staff/pos-sessions hoặc Quản lý ca làm; staff có/không có ca OPEN theo từng trường hợp.</t>
  </si>
  <si>
    <t>1. Chuẩn bị session/order theo dữ liệu.
2. Thực hiện request hoặc thao tác trên màn hình Quản lý ca.
3. Theo dõi response và UI.
4. Đối chiếu pos_sessions, orders và số tiền kỳ vọng/chênh lệch.</t>
  </si>
  <si>
    <t>- staff không có pos_session OPEN</t>
  </si>
  <si>
    <t>- HTTP 200 trả null/empty state; UI yêu cầu mở ca trước khi bán.</t>
  </si>
  <si>
    <t>P0 | UI+API+DB | Automation: Yes | REQ-POSSESSION-01 | GET /api/pos-sessions/active</t>
  </si>
  <si>
    <t>POSS-002</t>
  </si>
  <si>
    <t>Mở ca thành công với tiền đầu ca hợp lệ</t>
  </si>
  <si>
    <t>- starting_cash=500000; notes='Ca sáng'</t>
  </si>
  <si>
    <t>- Tạo session status=OPEN, staff_id đúng, opened_at hiện tại, starting_cash=500000.
- UI hiển thị mã ca và nút Vào bán hàng.</t>
  </si>
  <si>
    <t>P0 | UI+API+DB | Automation: Yes | REQ-POSSESSION-01 | POST /api/pos-sessions/open</t>
  </si>
  <si>
    <t>POSS-003</t>
  </si>
  <si>
    <t>Tiền đầu ca bằng 0 được chấp nhận</t>
  </si>
  <si>
    <t>- starting_cash=0</t>
  </si>
  <si>
    <t>- Mở ca thành công nếu quầy không có tiền lẻ; không coi 0 là empty.</t>
  </si>
  <si>
    <t>P1 | UI+API+DB | Automation: Yes | REQ-POSSESSION-01 | POST /api/pos-sessions/open</t>
  </si>
  <si>
    <t>POSS-004</t>
  </si>
  <si>
    <t>Tiền đầu ca âm bị từ chối</t>
  </si>
  <si>
    <t>- starting_cash=-1</t>
  </si>
  <si>
    <t>- API 400; không tạo session.</t>
  </si>
  <si>
    <t>POSS-005</t>
  </si>
  <si>
    <t>Không thể mở ca thứ hai khi đã có ca OPEN</t>
  </si>
  <si>
    <t>- staff đã có session OPEN</t>
  </si>
  <si>
    <t>- API conflict/400; chỉ một OPEN session cho staff.</t>
  </si>
  <si>
    <t>POSS-006</t>
  </si>
  <si>
    <t>STAFF không thể thao tác ca của staff khác</t>
  </si>
  <si>
    <t>- session_id thuộc staff B; token staff A</t>
  </si>
  <si>
    <t>- GET/mid/close bị 403/404; session B không đổi.</t>
  </si>
  <si>
    <t>P0 | UI+API+DB | Automation: Yes | REQ-POSSESSION-01 | POST /api/pos-sessions/:id/close</t>
  </si>
  <si>
    <t>POSS-007</t>
  </si>
  <si>
    <t>Đếm tiền giữa ca thành công</t>
  </si>
  <si>
    <t>- starting=500000; cash sales=100000; mid_actual=595000</t>
  </si>
  <si>
    <t>- Lưu mid_shift_cash=595000, counted_at; expected=600000 theo công thức; discrepancy=-5000; notes đúng.</t>
  </si>
  <si>
    <t>P0 | UI+API+DB | Automation: Yes | REQ-POSSESSION-01 | POST /api/pos-sessions/:id/mid-shift</t>
  </si>
  <si>
    <t>POSS-008</t>
  </si>
  <si>
    <t>Đếm giữa ca trước khi có doanh thu</t>
  </si>
  <si>
    <t>- starting=500000; no cash orders; actual=500000</t>
  </si>
  <si>
    <t>- expected=500000; discrepancy=0.</t>
  </si>
  <si>
    <t>P1 | UI+API+DB | Automation: Yes | REQ-POSSESSION-01 | POST /api/pos-sessions/:id/mid-shift</t>
  </si>
  <si>
    <t>POSS-009</t>
  </si>
  <si>
    <t>Đếm giữa ca quantity tiền âm bị từ chối</t>
  </si>
  <si>
    <t>- mid_shift_cash=-1</t>
  </si>
  <si>
    <t>- Validation; session không cập nhật.</t>
  </si>
  <si>
    <t>POSS-010</t>
  </si>
  <si>
    <t>Đếm giữa ca trên session CLOSED bị từ chối</t>
  </si>
  <si>
    <t>- session status=CLOSED</t>
  </si>
  <si>
    <t>- API 400/404; dữ liệu đã đóng không đổi.</t>
  </si>
  <si>
    <t>POSS-011</t>
  </si>
  <si>
    <t>Kết ca thành công và tính chênh lệch đúng</t>
  </si>
  <si>
    <t>- starting=500000; cash net sales=104000; ending_actual=600000</t>
  </si>
  <si>
    <t>- Expected cash=604000; discrepancy=-4000; session CLOSED; ending_cash_actual=600000; closed timestamp/notes lưu đúng.
- Sau đóng không tạo đơn mới trên session.</t>
  </si>
  <si>
    <t>POSS-012</t>
  </si>
  <si>
    <t>Kết ca với số tiền âm bị từ chối</t>
  </si>
  <si>
    <t>- ending_cash_actual=-1</t>
  </si>
  <si>
    <t>- Validation; session vẫn OPEN.</t>
  </si>
  <si>
    <t>POSS-013</t>
  </si>
  <si>
    <t>Không thể kết ca hai lần</t>
  </si>
  <si>
    <t>- session đã CLOSED</t>
  </si>
  <si>
    <t>- Lần hai bị từ chối/idempotent; không tính lại doanh thu hoặc đổi timestamp.</t>
  </si>
  <si>
    <t>POSS-014</t>
  </si>
  <si>
    <t>Kết ca tính riêng CASH, không cộng doanh thu QR vào tiền mặt kỳ vọng</t>
  </si>
  <si>
    <t>- CASH=100000; QR=200000; starting=500000</t>
  </si>
  <si>
    <t>- Expected cash=600000 (sau điều chỉnh refund cash nếu có), không phải 800000.</t>
  </si>
  <si>
    <t>POSS-015</t>
  </si>
  <si>
    <t>Cảnh báo ca mở quá 12 giờ</t>
  </si>
  <si>
    <t>- opened_at=now-12h01; status=OPEN</t>
  </si>
  <si>
    <t>- GET active trả shouldWarnClose=true; UI hiển thị cảnh báo rõ nhưng không tự đóng ca.</t>
  </si>
  <si>
    <t>P1 | UI+API+DB | Automation: Yes | REQ-POSSESSION-01 | GET /api/pos-sessions/active</t>
  </si>
  <si>
    <t>POSS-016</t>
  </si>
  <si>
    <t>Không cảnh báo ở 11h59 và kiểm tra biên đúng 12h</t>
  </si>
  <si>
    <t>- opened_at=now-11h59 và đúng 12h</t>
  </si>
  <si>
    <t>- Cờ theo rule &gt;12h: 11h59 false; đúng 12h false; sau 12h true.</t>
  </si>
  <si>
    <t>POSS-017</t>
  </si>
  <si>
    <t>Lịch sử ca chỉ ADMIN xem và số liệu đúng</t>
  </si>
  <si>
    <t>- Nhiều sessions open/closed</t>
  </si>
  <si>
    <t>- ADMIN nhận đúng staff, time, starting/ending, revenue, discrepancy; STAFF bị 403.</t>
  </si>
  <si>
    <t>P1 | UI+API+DB | Automation: Yes | REQ-POSSESSION-01 | GET /api/pos-sessions/history</t>
  </si>
  <si>
    <t>POS-001</t>
  </si>
  <si>
    <t>POS - Bán hàng</t>
  </si>
  <si>
    <t>Giỏ hàng &amp; thanh toán</t>
  </si>
  <si>
    <t>POS chỉ hiển thị sản phẩm ACTIVE, chưa xóa và có thể bán</t>
  </si>
  <si>
    <t>Đăng nhập STAFF; có POS session OPEN; mở /staff/pos; products/recipes/ingredients được chuẩn bị theo từng ca.</t>
  </si>
  <si>
    <t>1. Chuẩn bị session, product, recipe và tồn kho như dữ liệu.
2. Thao tác trên POS hoặc gửi POST /api/orders.
3. Theo dõi request/response và trạng thái UI.
4. Đối chiếu orders, order_items, ingredients, stock_transactions và KDS.</t>
  </si>
  <si>
    <t>- ACTIVE có recipe; INACTIVE; deleted; ACTIVE không recipe</t>
  </si>
  <si>
    <t>- Danh sách bán hiển thị đúng sản phẩm được phép theo rule UI; sản phẩm INACTIVE/deleted không cho chọn; sản phẩm thiếu recipe được ẩn hoặc đánh dấu không bán được.</t>
  </si>
  <si>
    <t>P0 | UI+API | Automation: Yes | REQ-POS-ORDER-01 | POST /api/orders</t>
  </si>
  <si>
    <t>POS-002</t>
  </si>
  <si>
    <t>Tìm kiếm sản phẩm theo tên</t>
  </si>
  <si>
    <t>- keyword=Americano</t>
  </si>
  <si>
    <t>- Danh sách lọc đúng, không phân biệt hoa/thường; xóa keyword khôi phục.</t>
  </si>
  <si>
    <t>P1 | UI | Automation: Yes | REQ-POS-ORDER-01 | POST /api/orders</t>
  </si>
  <si>
    <t>POS-003</t>
  </si>
  <si>
    <t>Lọc sản phẩm theo tag</t>
  </si>
  <si>
    <t>- Các tag Tất cả món, Cà phê, Trà, Freeze, Espresso, Nước ép, Khác</t>
  </si>
  <si>
    <t>- Mỗi chip hiển thị đúng tập; Tất cả món khôi phục toàn bộ.</t>
  </si>
  <si>
    <t>POS-004</t>
  </si>
  <si>
    <t>Thêm một sản phẩm vào giỏ</t>
  </si>
  <si>
    <t>- Milk Coffee price=30000</t>
  </si>
  <si>
    <t>- Giỏ có 1 dòng quantity=1, unit=30000, subtotal=30000; tổng tạm tính=30000.</t>
  </si>
  <si>
    <t>P0 | UI | Automation: Yes | REQ-POS-ORDER-01 | POST /api/orders</t>
  </si>
  <si>
    <t>POS-005</t>
  </si>
  <si>
    <t>Thêm cùng sản phẩm nhiều lần tăng quantity</t>
  </si>
  <si>
    <t>- Nhấn Milk Coffee 3 lần</t>
  </si>
  <si>
    <t>- Chỉ một dòng hoặc representation nhất quán với quantity=3; subtotal=90000; không duplicate sai.</t>
  </si>
  <si>
    <t>POS-006</t>
  </si>
  <si>
    <t>Tăng/giảm số lượng trong giỏ</t>
  </si>
  <si>
    <t>- quantity từ 1→2→1</t>
  </si>
  <si>
    <t>- Subtotal/tổng cập nhật tức thời và chính xác; không gửi order trước checkout.</t>
  </si>
  <si>
    <t>POS-007</t>
  </si>
  <si>
    <t>Giảm quantity từ 1 loại bỏ sản phẩm hoặc chặn 0</t>
  </si>
  <si>
    <t>- quantity=1; nhấn giảm</t>
  </si>
  <si>
    <t>- Dòng bị xóa hoặc quantity không xuống dưới 1 theo UX; tổng không âm.</t>
  </si>
  <si>
    <t>POS-008</t>
  </si>
  <si>
    <t>Xóa từng dòng khỏi giỏ</t>
  </si>
  <si>
    <t>- Giỏ có 2 sản phẩm</t>
  </si>
  <si>
    <t>- Chỉ dòng chọn bị xóa; tổng tính lại; sản phẩm còn lại giữ nguyên.</t>
  </si>
  <si>
    <t>POS-009</t>
  </si>
  <si>
    <t>Không cho thanh toán khi giỏ trống</t>
  </si>
  <si>
    <t>- Cart empty</t>
  </si>
  <si>
    <t>- Nút Tiến hành thanh toán disabled hoặc báo lỗi; không gửi POST /orders.</t>
  </si>
  <si>
    <t>POS-010</t>
  </si>
  <si>
    <t>Không thể tạo đơn khi không có POS session OPEN</t>
  </si>
  <si>
    <t>- Staff không có session OPEN; cart có item</t>
  </si>
  <si>
    <t>- UI yêu cầu mở ca; API từ chối; không tạo order/stock transaction.</t>
  </si>
  <si>
    <t>P0 | UI+API+DB | Automation: Yes | REQ-POS-ORDER-01 | POST /api/orders</t>
  </si>
  <si>
    <t>POS-011</t>
  </si>
  <si>
    <t>API từ chối product_id không tồn tại</t>
  </si>
  <si>
    <t>- items=[random UUID, qty=1]</t>
  </si>
  <si>
    <t>- HTTP 404/400; transaction rollback; không order/stock change.</t>
  </si>
  <si>
    <t>P0 | API+DB | Automation: Yes | REQ-POS-ORDER-01 | POST /api/orders</t>
  </si>
  <si>
    <t>POS-012</t>
  </si>
  <si>
    <t>API từ chối product INACTIVE</t>
  </si>
  <si>
    <t>- Product status=INACTIVE, có recipe</t>
  </si>
  <si>
    <t>- Không tạo đơn; không trừ kho.</t>
  </si>
  <si>
    <t>POS-013</t>
  </si>
  <si>
    <t>API từ chối product đã soft-delete</t>
  </si>
  <si>
    <t>- Product deleted_at</t>
  </si>
  <si>
    <t>POS-014</t>
  </si>
  <si>
    <t>API từ chối product không có recipe</t>
  </si>
  <si>
    <t>- ACTIVE product nhưng không recipe</t>
  </si>
  <si>
    <t>- Thông báo sản phẩm chưa có công thức; không tạo order/order_items/stock transactions.</t>
  </si>
  <si>
    <t>POS-015</t>
  </si>
  <si>
    <t>API từ chối quantity=0</t>
  </si>
  <si>
    <t>- items=[{productId, quantity:0}]</t>
  </si>
  <si>
    <t>- Validation; không tạo đơn.</t>
  </si>
  <si>
    <t>POS-016</t>
  </si>
  <si>
    <t>API từ chối quantity âm</t>
  </si>
  <si>
    <t>- quantity=-1</t>
  </si>
  <si>
    <t>POS-017</t>
  </si>
  <si>
    <t>API từ chối quantity không phải số nguyên</t>
  </si>
  <si>
    <t>- quantity=1.5 hoặc 'abc'</t>
  </si>
  <si>
    <t>- Validation integer &gt;0; không tạo đơn.</t>
  </si>
  <si>
    <t>POS-018</t>
  </si>
  <si>
    <t>Tính tổng nhiều sản phẩm đúng giá hiện tại</t>
  </si>
  <si>
    <t>- Milk Coffee 2×30000; Black Coffee 1×25000</t>
  </si>
  <si>
    <t>- order total=85000; order_items subtotal lần lượt 60000/25000; không tin giá client gửi.</t>
  </si>
  <si>
    <t>POS-019</t>
  </si>
  <si>
    <t>Server bỏ qua/từ chối unit price do client tự sửa</t>
  </si>
  <si>
    <t>- Payload thêm unitPrice=1</t>
  </si>
  <si>
    <t>- Server lấy products.price=giá DB; order total không bị giảm; chống price tampering.</t>
  </si>
  <si>
    <t>P0 | API+Security+DB | Automation: Yes | REQ-POS-ORDER-01 | POST /api/orders</t>
  </si>
  <si>
    <t>POS-020</t>
  </si>
  <si>
    <t>Trừ kho đúng theo công thức cho một sản phẩm</t>
  </si>
  <si>
    <t>- Recipe Milk Coffee: bean15g, milk50ml, sugar5g; qty=2</t>
  </si>
  <si>
    <t>- Stock giảm bean30g, milk100ml, sugar10g; mỗi transaction ORDER_DEDUCT có order_id/before/after đúng.</t>
  </si>
  <si>
    <t>POS-021</t>
  </si>
  <si>
    <t>Tổng hợp cùng nguyên liệu dùng bởi nhiều sản phẩm</t>
  </si>
  <si>
    <t>- 2 product cùng dùng Coffee bean; tổng yêu cầu 40g</t>
  </si>
  <si>
    <t>- Lock/kiểm tra theo tổng lượng cần; final giảm đúng 40g, không bỏ sót/double deduct.</t>
  </si>
  <si>
    <t>POS-022</t>
  </si>
  <si>
    <t>Bán khi tồn kho đúng bằng lượng yêu cầu</t>
  </si>
  <si>
    <t>- stock=30g; required=30g</t>
  </si>
  <si>
    <t>- Đơn thành công; final stock=0; cảnh báo low stock cập nhật.</t>
  </si>
  <si>
    <t>POS-023</t>
  </si>
  <si>
    <t>Từ chối khi một nguyên liệu thiếu tồn</t>
  </si>
  <si>
    <t>- Bean đủ, Milk thiếu 1ml</t>
  </si>
  <si>
    <t>- API báo nguyên liệu thiếu; rollback toàn bộ order/order_items và mọi stock đã trừ trước đó.</t>
  </si>
  <si>
    <t>POS-024</t>
  </si>
  <si>
    <t>Thanh toán CASH với tiền khách đưa đúng bằng tổng</t>
  </si>
  <si>
    <t>- total=85000; amount_received=85000</t>
  </si>
  <si>
    <t>- payment_method=CASH; change_amount=0; order SUCCESS; paid_at set.</t>
  </si>
  <si>
    <t>POS-025</t>
  </si>
  <si>
    <t>Thanh toán CASH với tiền dư tính tiền thừa đúng</t>
  </si>
  <si>
    <t>- total=85000; amount_received=100000</t>
  </si>
  <si>
    <t>- change_amount=15000; UI hiển thị 15.000 ₫; không sai số.</t>
  </si>
  <si>
    <t>POS-026</t>
  </si>
  <si>
    <t>CASH amount_received nhỏ hơn total bị từ chối</t>
  </si>
  <si>
    <t>- total=85000; amount_received=80000</t>
  </si>
  <si>
    <t>- Không tạo đơn; báo khách đưa chưa đủ.</t>
  </si>
  <si>
    <t>POS-027</t>
  </si>
  <si>
    <t>CASH amount_received âm/0 bị từ chối khi total&gt;0</t>
  </si>
  <si>
    <t>- amount_received=0 hoặc -1</t>
  </si>
  <si>
    <t>- Validation; không order.</t>
  </si>
  <si>
    <t>POS-028</t>
  </si>
  <si>
    <t>Thanh toán QR tạo link VietQR đúng cấu hình</t>
  </si>
  <si>
    <t>- total=85000; method=QR</t>
  </si>
  <si>
    <t>- Response/UI có link QR dùng bank/account/name từ env, amount=85000, nội dung liên quan order_code; không lộ secret.
- order payment_method=QR; amount_received/change theo rule QR.</t>
  </si>
  <si>
    <t>P0 | UI+API | Automation: Partial | REQ-POS-ORDER-01 | POST /api/orders</t>
  </si>
  <si>
    <t>POS-029</t>
  </si>
  <si>
    <t>Phương thức thanh toán ngoài CASH/QR bị từ chối</t>
  </si>
  <si>
    <t>- payment_method=CARD</t>
  </si>
  <si>
    <t>- API 400; không tạo order.</t>
  </si>
  <si>
    <t>POS-030</t>
  </si>
  <si>
    <t>Order code có format và unique</t>
  </si>
  <si>
    <t>- Tạo nhiều đơn liên tiếp/đồng thời</t>
  </si>
  <si>
    <t>- Mỗi code khớp ^OD\d{14}\d{3}$ và unique; không collision gây 500.</t>
  </si>
  <si>
    <t>P0 | API+DB+Concurrency | Automation: Yes | REQ-POS-ORDER-01 | POST /api/orders</t>
  </si>
  <si>
    <t>POS-031</t>
  </si>
  <si>
    <t>Lưu snapshot tên và giá sản phẩm</t>
  </si>
  <si>
    <t>- Tạo order rồi đổi product name/price</t>
  </si>
  <si>
    <t>- order_items vẫn giữ product_name_snapshot, unit_price, subtotal tại thời điểm bán; lịch sử không đổi.</t>
  </si>
  <si>
    <t>POS-032</t>
  </si>
  <si>
    <t>Order mới xuất hiện ở KDS trạng thái NEW</t>
  </si>
  <si>
    <t>- Tạo order thành công</t>
  </si>
  <si>
    <t>- orders.kds_status=NEW; KDS hiển thị mã, giờ, note, items/quantity.</t>
  </si>
  <si>
    <t>POS-033</t>
  </si>
  <si>
    <t>Ghi chú đơn hàng lưu đúng và hiển thị ở KDS</t>
  </si>
  <si>
    <t>- note='Ít đá, 30% đường – không ống hút'</t>
  </si>
  <si>
    <t>- orders.note lưu đủ Unicode; KDS hiển thị đúng, escape HTML.</t>
  </si>
  <si>
    <t>P1 | UI+API+DB | Automation: Yes | REQ-POS-ORDER-01 | POST /api/orders</t>
  </si>
  <si>
    <t>POS-034</t>
  </si>
  <si>
    <t>Double-click nút thanh toán không tạo hai đơn</t>
  </si>
  <si>
    <t>- Giả lập click nhanh 2 lần/network chậm</t>
  </si>
  <si>
    <t>- Nút disabled khi submit hoặc cơ chế chống duplicate; tối đa một order/stock deduction.</t>
  </si>
  <si>
    <t>P0 | UI+API+Concurrency | Automation: Partial | REQ-POS-ORDER-01 | POST /api/orders</t>
  </si>
  <si>
    <t>POS-035</t>
  </si>
  <si>
    <t>Rollback khi INSERT order_item/stock transaction gặp lỗi</t>
  </si>
  <si>
    <t>- Mock DB lỗi giữa transaction</t>
  </si>
  <si>
    <t>- BEGIN được rollback; không order mồ côi, không trừ kho một phần; API 500 chuẩn không lộ SQL.</t>
  </si>
  <si>
    <t>P0 | API+DB | Automation: Partial | REQ-POS-ORDER-01 | POST /api/orders</t>
  </si>
  <si>
    <t>POS-036</t>
  </si>
  <si>
    <t>Hai đơn đồng thời tranh chấp lượng tồn cuối</t>
  </si>
  <si>
    <t>- stock đủ cho 1 đơn, không đủ cho cả 2</t>
  </si>
  <si>
    <t>- Chỉ một đơn commit; đơn còn lại báo hết hàng; stock không âm nhờ lock.</t>
  </si>
  <si>
    <t>P0 | API+DB+Concurrency | Automation: Partial | REQ-POS-ORDER-01 | POST /api/orders</t>
  </si>
  <si>
    <t>POS-037</t>
  </si>
  <si>
    <t>ADMIN không thể gọi endpoint tạo đơn STAFF nếu route giới hạn STAFF</t>
  </si>
  <si>
    <t>- Token ADMIN</t>
  </si>
  <si>
    <t>- HTTP 403 theo requireRole; không order.</t>
  </si>
  <si>
    <t>P1 | API+Security | Automation: Yes | REQ-POS-ORDER-01 | POST /api/orders</t>
  </si>
  <si>
    <t>POS-038</t>
  </si>
  <si>
    <t>Sau tạo đơn thành công cart được reset</t>
  </si>
  <si>
    <t>- Cart có items; checkout success</t>
  </si>
  <si>
    <t>- Cart rỗng, tổng=0, UI sẵn sàng đơn mới; không tự submit lại khi refresh.</t>
  </si>
  <si>
    <t>REF-001</t>
  </si>
  <si>
    <t>Hoàn tiền</t>
  </si>
  <si>
    <t>Hoàn toàn bộ &amp; từng phần</t>
  </si>
  <si>
    <t>Hoàn toàn bộ đơn không trả hàng về kho</t>
  </si>
  <si>
    <t>Đăng nhập ADMIN trên /admin/orders; có order SUCCESS với order_items và dữ liệu tồn kho biết trước. Giả định UI hoàn tiền thuộc ADMIN vì tài liệu không nêu rõ role endpoint.</t>
  </si>
  <si>
    <t>1. Mở chi tiết order hoặc gọi POST /api/orders/:id/refund.
2. Nhập reason, refundAll/items và returnToStock theo dữ liệu.
3. Xác nhận hoàn.
4. Kiểm tra response, orders/order_items, stock và report.</t>
  </si>
  <si>
    <t>- refundAll=true; returnToStock=false; reason='Khách hủy'</t>
  </si>
  <si>
    <t>- Tất cả refunded_quantity=quantity; refunded_amount=total; order status=REFUNDED.
- Stock không đổi; không ORDER_REFUND transaction.</t>
  </si>
  <si>
    <t>P0 | UI+API+DB | Automation: Yes | REQ-REFUND-01 | POST /api/orders/:id/refund
Assumption: Giả định quyền hoàn tiền là ADMIN; cần xác nhận middleware thực tế.</t>
  </si>
  <si>
    <t>REF-002</t>
  </si>
  <si>
    <t>Hoàn toàn bộ và trả nguyên liệu về kho</t>
  </si>
  <si>
    <t>- refundAll=true; returnToStock=true</t>
  </si>
  <si>
    <t>- Order REFUNDED; stock cộng lại đúng công thức×quantity; tạo ORDER_REFUND transactions liên kết order.</t>
  </si>
  <si>
    <t>REF-003</t>
  </si>
  <si>
    <t>Hoàn một phần một sản phẩm</t>
  </si>
  <si>
    <t>- item qty=3; refundQuantity=1; returnToStock=false</t>
  </si>
  <si>
    <t>- refunded_quantity tăng 1; refunded_amount tăng unit_price; status=PARTIALLY_REFUNDED; các item khác không đổi.</t>
  </si>
  <si>
    <t>REF-004</t>
  </si>
  <si>
    <t>Hoàn một phần nhiều sản phẩm</t>
  </si>
  <si>
    <t>- Item A refund1; Item B refund2</t>
  </si>
  <si>
    <t>- Mỗi item cập nhật đúng; refunded_amount bằng tổng unit_price×refundQuantity; status đúng.</t>
  </si>
  <si>
    <t>REF-005</t>
  </si>
  <si>
    <t>Nhiều lần hoàn một phần đến hết chuyển REFUNDED</t>
  </si>
  <si>
    <t>- Lần1 hoàn 1/3; lần2 hoàn 2/3 còn lại</t>
  </si>
  <si>
    <t>- Sau lần1 PARTIALLY_REFUNDED; sau lần2 REFUNDED; tổng refunded_amount=total, không vượt.</t>
  </si>
  <si>
    <t>REF-006</t>
  </si>
  <si>
    <t>Bắt buộc nhập reason</t>
  </si>
  <si>
    <t>- reason='' hoặc chỉ khoảng trắng</t>
  </si>
  <si>
    <t>- API/UI từ chối; không thay đổi order/stock.</t>
  </si>
  <si>
    <t>REF-007</t>
  </si>
  <si>
    <t>refundQuantity=0 bị từ chối</t>
  </si>
  <si>
    <t>- refundQuantity=0</t>
  </si>
  <si>
    <t>- Validation; không cập nhật.</t>
  </si>
  <si>
    <t>REF-008</t>
  </si>
  <si>
    <t>refundQuantity âm bị từ chối</t>
  </si>
  <si>
    <t>- refundQuantity=-1</t>
  </si>
  <si>
    <t>REF-009</t>
  </si>
  <si>
    <t>Không hoàn quá số lượng còn lại</t>
  </si>
  <si>
    <t>- quantity=2; refunded=1; request=2</t>
  </si>
  <si>
    <t>- API báo vượt quá remaining=1; không cập nhật.</t>
  </si>
  <si>
    <t>REF-010</t>
  </si>
  <si>
    <t>orderItemId không thuộc order bị từ chối</t>
  </si>
  <si>
    <t>- Dùng item của order B trong refund order A</t>
  </si>
  <si>
    <t>- Không hoàn nhầm; toàn transaction rollback.</t>
  </si>
  <si>
    <t>REF-011</t>
  </si>
  <si>
    <t>Danh sách items trùng orderItemId bị xử lý an toàn</t>
  </si>
  <si>
    <t>- Cùng item xuất hiện 2 lần mỗi lần refund1</t>
  </si>
  <si>
    <t>- Từ chối duplicate hoặc tổng hợp rõ ràng nhưng không vượt remaining/double refund.</t>
  </si>
  <si>
    <t>P0 | UI+API+DB | Automation: Partial | REQ-REFUND-01 | POST /api/orders/:id/refund
Assumption: Giả định quyền hoàn tiền là ADMIN; cần xác nhận middleware thực tế.</t>
  </si>
  <si>
    <t>REF-012</t>
  </si>
  <si>
    <t>Không thể refund order đã REFUNDED</t>
  </si>
  <si>
    <t>- Order status=REFUNDED</t>
  </si>
  <si>
    <t>- API từ chối; refunded_amount/stock giữ nguyên.</t>
  </si>
  <si>
    <t>REF-013</t>
  </si>
  <si>
    <t>refundAll chỉ hoàn phần còn lại sau partial</t>
  </si>
  <si>
    <t>- Item đã refunded một phần</t>
  </si>
  <si>
    <t>- Chỉ remaining quantity được hoàn; không hoàn lặp phần cũ; total refunded_amount không vượt total.</t>
  </si>
  <si>
    <t>REF-014</t>
  </si>
  <si>
    <t>returnToStock dùng công thức hiện tại hay snapshot phải nhất quán</t>
  </si>
  <si>
    <t>- Đổi recipe sau bán trước refund</t>
  </si>
  <si>
    <t>- Hệ thống áp dụng rule thiết kế nhất quán; ưu tiên lượng đã deduct ban đầu nếu dữ liệu cho phép, tránh cộng sai kho; kết quả được tài liệu hóa.</t>
  </si>
  <si>
    <t>REF-015</t>
  </si>
  <si>
    <t>Rollback khi một item refund invalid</t>
  </si>
  <si>
    <t>- Một item hợp lệ, một item vượt remaining</t>
  </si>
  <si>
    <t>- Không item nào cập nhật; không stock transaction; refunded_amount/status giữ nguyên.</t>
  </si>
  <si>
    <t>REF-016</t>
  </si>
  <si>
    <t>Hai request refund đồng thời không vượt remaining</t>
  </si>
  <si>
    <t>- remaining=1; hai request refund1 đồng thời</t>
  </si>
  <si>
    <t>- Chỉ một commit; request còn lại bị từ chối; refunded_quantity không &gt; quantity.</t>
  </si>
  <si>
    <t>REF-017</t>
  </si>
  <si>
    <t>Số tiền refund hiển thị đúng trong lịch sử/báo cáo</t>
  </si>
  <si>
    <t>- Partial refund 84000</t>
  </si>
  <si>
    <t>- Admin orders hiển thị Đã hoàn -84.000 và Thực thu đúng; reports/dashboard cập nhật theo rule net revenue.</t>
  </si>
  <si>
    <t>P1 | UI+API+DB | Automation: Yes | REQ-REFUND-01 | POST /api/orders/:id/refund
Assumption: Giả định quyền hoàn tiền là ADMIN; cần xác nhận middleware thực tế.</t>
  </si>
  <si>
    <t>REF-018</t>
  </si>
  <si>
    <t>Reason Unicode/HTML được lưu an toàn</t>
  </si>
  <si>
    <t>- reason='Đổi món – khách dị ứng &lt;script&gt;alert(1)&lt;/script&gt;'</t>
  </si>
  <si>
    <t>- Lưu text đầy đủ; không thực thi script; hiển thị escaped.</t>
  </si>
  <si>
    <t>REF-019</t>
  </si>
  <si>
    <t>Refund order không tồn tại bị 404</t>
  </si>
  <si>
    <t>- order_id=random UUID</t>
  </si>
  <si>
    <t>- HTTP 404 chuẩn; không lỗi 500/DB change.</t>
  </si>
  <si>
    <t>KDS</t>
  </si>
  <si>
    <t>Kiểm thử màn hình bếp KDS của hệ thống Mini Coffee POS &amp; Inventory System</t>
  </si>
  <si>
    <t>KDS-001</t>
  </si>
  <si>
    <t>KDS / Bếp</t>
  </si>
  <si>
    <t>Xử lý đơn pha chế</t>
  </si>
  <si>
    <t>Danh sách Đơn mới hiển thị theo thời gian cũ đến mới</t>
  </si>
  <si>
    <t>Đăng nhập STAFF; mở /staff/kds; có orders kds_status NEW và COMPLETED.</t>
  </si>
  <si>
    <t>1. Mở màn hình KDS và chuẩn bị orders như dữ liệu.
2. Chờ refresh hoặc thực hiện thao tác Hoàn thành/Tải lại.
3. Quan sát UI/network.
4. Đối chiếu orders.kds_status và metadata.</t>
  </si>
  <si>
    <t>- 3 NEW orders tạo 08:00, 08:05, 08:10</t>
  </si>
  <si>
    <t>- Thứ tự 08:00→08:05→08:10; count đúng; mỗi card có mã, thời gian, staff, items, note.</t>
  </si>
  <si>
    <t>P0 | UI+API+DB | Automation: Yes | REQ-KDS-01 | /api/kds</t>
  </si>
  <si>
    <t>KDS-002</t>
  </si>
  <si>
    <t>Danh sách hoàn thành chỉ hiển thị 20 đơn gần nhất</t>
  </si>
  <si>
    <t>- 25 COMPLETED orders</t>
  </si>
  <si>
    <t>- Chỉ 20 đơn có kds_completed_at mới nhất; không lẫn NEW.</t>
  </si>
  <si>
    <t>P1 | UI+API+DB | Automation: Yes | REQ-KDS-01 | /api/kds</t>
  </si>
  <si>
    <t>KDS-003</t>
  </si>
  <si>
    <t>Đánh dấu đơn NEW hoàn thành</t>
  </si>
  <si>
    <t>- Chọn một NEW order</t>
  </si>
  <si>
    <t>- PATCH thành công; kds_status=COMPLETED, kds_completed_at hiện tại, kds_completed_by=current staff.
- Card chuyển sang tab hoàn thành, count cập nhật.</t>
  </si>
  <si>
    <t>KDS-004</t>
  </si>
  <si>
    <t>Không thể hoàn thành lại đơn COMPLETED</t>
  </si>
  <si>
    <t>- Order đã COMPLETED</t>
  </si>
  <si>
    <t>- API từ chối/idempotent; metadata không bị ghi đè sai.</t>
  </si>
  <si>
    <t>KDS-005</t>
  </si>
  <si>
    <t>Order không tồn tại trả 404</t>
  </si>
  <si>
    <t>- HTTP 404; UI thông báo/refresh, không crash.</t>
  </si>
  <si>
    <t>KDS-006</t>
  </si>
  <si>
    <t>Auto refresh khoảng 5 giây cập nhật đơn mới</t>
  </si>
  <si>
    <t>- Mở KDS; tạo order từ tab khác</t>
  </si>
  <si>
    <t>- Trong khoảng chu kỳ refresh UI xuất hiện order một lần; không duplicate card; không mất scroll nghiêm trọng.</t>
  </si>
  <si>
    <t>KDS-007</t>
  </si>
  <si>
    <t>Nút Tải lại cập nhật ngay</t>
  </si>
  <si>
    <t>- Có order mới chưa hiện</t>
  </si>
  <si>
    <t>- Click gửi request một lần, hiển thị dữ liệu mới, không nhân đôi.</t>
  </si>
  <si>
    <t>P2 | UI+API+DB | Automation: Yes | REQ-KDS-01 | /api/kds</t>
  </si>
  <si>
    <t>KDS-008</t>
  </si>
  <si>
    <t>Ghi chú dài/Unicode hiển thị dễ đọc và an toàn</t>
  </si>
  <si>
    <t>- note dài 500 ký tự có Unicode/HTML</t>
  </si>
  <si>
    <t>- Wrap text, không vỡ card; HTML escaped; thông tin items vẫn thấy.</t>
  </si>
  <si>
    <t>KDS-009</t>
  </si>
  <si>
    <t>Item quantity và snapshot name hiển thị đúng</t>
  </si>
  <si>
    <t>- Order có 2 Americano L, 1 Milk Coffee; product sau đó đổi tên</t>
  </si>
  <si>
    <t>- KDS dùng product_name_snapshot và quantity đúng lúc bán.</t>
  </si>
  <si>
    <t>KDS-010</t>
  </si>
  <si>
    <t>STAFF khác có thể hoàn thành đơn và lưu đúng completed_by</t>
  </si>
  <si>
    <t>- Order do staff A tạo; staff B ở bếp</t>
  </si>
  <si>
    <t>- Staff B hoàn thành được theo quyền KDS; completed_by=B, staff_id order vẫn A.</t>
  </si>
  <si>
    <t>KDS-011</t>
  </si>
  <si>
    <t>Người chưa đăng nhập/ADMIN bị chặn theo role</t>
  </si>
  <si>
    <t>- Không token và token ADMIN</t>
  </si>
  <si>
    <t>- Không xem/cập nhật KDS; API 401/403.</t>
  </si>
  <si>
    <t>KDS-012</t>
  </si>
  <si>
    <t>Lỗi mạng khi complete không làm card biến mất sai</t>
  </si>
  <si>
    <t>- Mock PATCH 500/timeout</t>
  </si>
  <si>
    <t>- UI rollback trạng thái optimistic hoặc giữ card NEW; hiển thị retry; DB không đổi.</t>
  </si>
  <si>
    <t>ORD-001</t>
  </si>
  <si>
    <t>Lịch sử đơn hàng</t>
  </si>
  <si>
    <t>Danh sách, lọc &amp; chi tiết</t>
  </si>
  <si>
    <t>STAFF chỉ thấy đơn do chính mình tạo</t>
  </si>
  <si>
    <t>Có dữ liệu nhiều staff, ngày, payment/status; đăng nhập theo role; mở /staff/orders hoặc /admin/orders.</t>
  </si>
  <si>
    <t>1. Mở trang theo role hoặc gọi endpoint tương ứng.
2. Nhập bộ lọc/chọn order theo dữ liệu.
3. Thực hiện Tìm kiếm/Xem chi tiết.
4. Đối chiếu response, UI và DB.</t>
  </si>
  <si>
    <t>- staff A và B có orders</t>
  </si>
  <si>
    <t>- GET /staff chỉ trả staff_id=A; UI không lộ order B.</t>
  </si>
  <si>
    <t>P0 | UI+API+DB | Automation: Yes | REQ-ORDER-HISTORY-01 | /api/orders</t>
  </si>
  <si>
    <t>ORD-002</t>
  </si>
  <si>
    <t>STAFF không xem được chi tiết order người khác</t>
  </si>
  <si>
    <t>- staff A gọi /staff/:id của order B</t>
  </si>
  <si>
    <t>- HTTP 403/404; không trả items/payment/note.</t>
  </si>
  <si>
    <t>ORD-003</t>
  </si>
  <si>
    <t>ADMIN xem tất cả đơn</t>
  </si>
  <si>
    <t>- Nhiều staff/orders</t>
  </si>
  <si>
    <t>- GET /admin trả toàn bộ theo filter; cột staff, total, refunded, net, payment, status, date đúng.</t>
  </si>
  <si>
    <t>ORD-004</t>
  </si>
  <si>
    <t>Tìm theo mã đơn chính xác/một phần theo thiết kế</t>
  </si>
  <si>
    <t>- order_code tồn tại</t>
  </si>
  <si>
    <t>- Kết quả chứa đúng order; không phân biệt ký tự # nếu UI có; không SQL injection.</t>
  </si>
  <si>
    <t>P1 | UI+API+DB | Automation: Yes | REQ-ORDER-HISTORY-01 | /api/orders</t>
  </si>
  <si>
    <t>ORD-005</t>
  </si>
  <si>
    <t>Lọc theo username nhân viên</t>
  </si>
  <si>
    <t>- username=staff05</t>
  </si>
  <si>
    <t>- Chỉ orders của staff05; join đúng kể cả full name khác.</t>
  </si>
  <si>
    <t>ORD-006</t>
  </si>
  <si>
    <t>Lọc theo trạng thái SUCCESS/PARTIALLY_REFUNDED/REFUNDED</t>
  </si>
  <si>
    <t>- Mỗi status có dữ liệu</t>
  </si>
  <si>
    <t>- Mỗi filter trả đúng tập và badge đúng.</t>
  </si>
  <si>
    <t>ORD-007</t>
  </si>
  <si>
    <t>Lọc khoảng ngày gồm cả ngày đầu và cuối</t>
  </si>
  <si>
    <t>- from=15/07/2026; to=17/07/2026</t>
  </si>
  <si>
    <t>- Bao gồm đơn từ 00:00 ngày đầu đến hết ngày cuối theo timezone cấu hình; không lệch UTC.</t>
  </si>
  <si>
    <t>ORD-008</t>
  </si>
  <si>
    <t>Từ ngày lớn hơn đến ngày bị validate</t>
  </si>
  <si>
    <t>- from=18/07; to=17/07</t>
  </si>
  <si>
    <t>- UI/API báo khoảng ngày không hợp lệ; không trả dữ liệu sai.</t>
  </si>
  <si>
    <t>ORD-009</t>
  </si>
  <si>
    <t>Kết hợp mã đơn, staff, status và ngày</t>
  </si>
  <si>
    <t>- Bộ lọc giao nhau</t>
  </si>
  <si>
    <t>- Kết quả thỏa tất cả điều kiện; Đặt lại bộ lọc khôi phục.</t>
  </si>
  <si>
    <t>ORD-010</t>
  </si>
  <si>
    <t>Chi tiết đơn hiển thị snapshot và phép tính</t>
  </si>
  <si>
    <t>- Order có nhiều items và partial refund</t>
  </si>
  <si>
    <t>- subtotal từng dòng=qty×unit; refunded qty/amount đúng; total-refunded=thực thu; payment/change/KDS/note đúng.</t>
  </si>
  <si>
    <t>ORD-011</t>
  </si>
  <si>
    <t>Danh sách STAFF hiển thị tiền khách đưa và tiền thừa cho CASH</t>
  </si>
  <si>
    <t>- CASH total=104000, received=200000</t>
  </si>
  <si>
    <t>- Khách đưa 200.000; tiền thừa 96.000; QR không hiển thị cash fields sai.</t>
  </si>
  <si>
    <t>ORD-012</t>
  </si>
  <si>
    <t>Mặc định sắp xếp đơn mới nhất trước</t>
  </si>
  <si>
    <t>- Orders nhiều timestamp</t>
  </si>
  <si>
    <t>- Order mới nhất đứng đầu; pagination/limit nếu có không bỏ trùng.</t>
  </si>
  <si>
    <t>ORD-013</t>
  </si>
  <si>
    <t>Empty state khi không có kết quả</t>
  </si>
  <si>
    <t>- Filter mã không tồn tại</t>
  </si>
  <si>
    <t>- Hiển thị trạng thái rỗng rõ; không giữ bảng cũ.</t>
  </si>
  <si>
    <t>P2 | UI+API+DB | Automation: Yes | REQ-ORDER-HISTORY-01 | /api/orders</t>
  </si>
  <si>
    <t>ORD-014</t>
  </si>
  <si>
    <t>Nút Tải lại cập nhật order mới</t>
  </si>
  <si>
    <t>- Tạo order trong tab khác</t>
  </si>
  <si>
    <t>- Danh sách cập nhật một lần; filter hiện tại được áp dụng nhất quán.</t>
  </si>
  <si>
    <t>ORD-015</t>
  </si>
  <si>
    <t>API chống injection trong query filter</t>
  </si>
  <si>
    <t>- orderCode=' OR 1=1--</t>
  </si>
  <si>
    <t>- Không trả toàn bộ trái phép; không 500/SQL leak.</t>
  </si>
  <si>
    <t>RPT-001</t>
  </si>
  <si>
    <t>Báo cáo &amp; Thống kê</t>
  </si>
  <si>
    <t>Revenue, best-selling, low-stock, discard</t>
  </si>
  <si>
    <t>Doanh thu theo ngày hiển thị số đơn, tiền đã hoàn và doanh thu thực</t>
  </si>
  <si>
    <t>Đăng nhập ADMIN; có orders, refunds, ingredients low stock và discard transactions; mở /admin/reports.</t>
  </si>
  <si>
    <t>1. Mở tab báo cáo liên quan.
2. Thiết lập dữ liệu/bộ lọc theo Test data.
3. Tải báo cáo hoặc xuất Excel.
4. Đối chiếu UI, API, SQL view/bảng nguồn và file xuất.</t>
  </si>
  <si>
    <t>- Ngày có 3 orders total 300k, refund 50k</t>
  </si>
  <si>
    <t>- Row ngày: số đơn=3; tiền đã hoàn=50k; net theo view=250k; KPI tổng khớp.</t>
  </si>
  <si>
    <t>P0 | UI+API+DB+File | Automation: Yes | REQ-REPORT-01 | /api/reports</t>
  </si>
  <si>
    <t>RPT-002</t>
  </si>
  <si>
    <t>Doanh thu không double count order_items</t>
  </si>
  <si>
    <t>- Order có 3 items</t>
  </si>
  <si>
    <t>- Số đơn vẫn 1; tổng doanh thu bằng orders amount, không nhân theo join.</t>
  </si>
  <si>
    <t>RPT-003</t>
  </si>
  <si>
    <t>Báo cáo xử lý refund toàn bộ/partial chính xác</t>
  </si>
  <si>
    <t>- 1 partial, 1 full refund</t>
  </si>
  <si>
    <t>- Refund amount và net revenue đúng; status không làm mất order khỏi count nếu view định nghĩa count orders.</t>
  </si>
  <si>
    <t>RPT-004</t>
  </si>
  <si>
    <t>Bộ lọc khoảng ngày đúng biên timezone</t>
  </si>
  <si>
    <t>- from/to cùng ngày và qua nửa đêm UTC</t>
  </si>
  <si>
    <t>- Dữ liệu thuộc ngày địa phương đúng; không lệch một ngày.</t>
  </si>
  <si>
    <t>RPT-005</t>
  </si>
  <si>
    <t>Sản phẩm bán chạy tính số lượng bán và doanh thu</t>
  </si>
  <si>
    <t>- Product A qty11; B qty9</t>
  </si>
  <si>
    <t>- A đứng trên B; revenue dùng unit_price snapshot; tie có thứ tự ổn định.</t>
  </si>
  <si>
    <t>RPT-006</t>
  </si>
  <si>
    <t>Sản phẩm bán chạy xử lý lượng đã refund theo rule view</t>
  </si>
  <si>
    <t>- Bán 10, refund 4</t>
  </si>
  <si>
    <t>- Số lượng/doanh thu hiển thị theo định nghĩa nghiệp vụ được thống nhất; phải khớp SQL view và số liệu đơn.</t>
  </si>
  <si>
    <t>P1 | UI+API+DB+File | Automation: Partial | REQ-REPORT-01 | /api/reports</t>
  </si>
  <si>
    <t>RPT-007</t>
  </si>
  <si>
    <t>Low-stock report chỉ current_stock &lt; threshold</t>
  </si>
  <si>
    <t>- 99/100; 100/100; 101/100</t>
  </si>
  <si>
    <t>- Chỉ 99/100 xuất hiện; unit/tag đúng.</t>
  </si>
  <si>
    <t>RPT-008</t>
  </si>
  <si>
    <t>Discard report chỉ lấy giao dịch hủy hàng</t>
  </si>
  <si>
    <t>- IMPORT, ADJUST thường, note [HỦY HÀNG]</t>
  </si>
  <si>
    <t>- Chỉ dòng hủy; quantity, before/after, reason, user, time đúng.</t>
  </si>
  <si>
    <t>RPT-009</t>
  </si>
  <si>
    <t>KPI 'hao hụt &amp; hủy hàng' khớp lịch sử</t>
  </si>
  <si>
    <t>- Nhiều discard trong kỳ</t>
  </si>
  <si>
    <t>- Số lượt/tổng lượng theo rule khớp table; không tính ORDER_DEDUCT.</t>
  </si>
  <si>
    <t>P1 | UI+API+DB+File | Automation: Yes | REQ-REPORT-01 | /api/reports</t>
  </si>
  <si>
    <t>RPT-010</t>
  </si>
  <si>
    <t>Xuất Excel doanh thu đúng dữ liệu đang lọc</t>
  </si>
  <si>
    <t>- Filter 7 ngày; nhấn xuất</t>
  </si>
  <si>
    <t>- File .xlsx mở được; tiêu đề/cột/dòng/tổng khớp UI/API; kiểu ngày/số tiền hợp lệ.</t>
  </si>
  <si>
    <t>RPT-011</t>
  </si>
  <si>
    <t>Xuất Excel best-selling/low-stock/discard đúng sheet hoặc file</t>
  </si>
  <si>
    <t>- Thực hiện từng báo cáo</t>
  </si>
  <si>
    <t>- Nội dung đúng loại, không lẫn dữ liệu; Unicode tiếng Việt không lỗi.</t>
  </si>
  <si>
    <t>RPT-012</t>
  </si>
  <si>
    <t>No-data report hiển thị 0/empty và vẫn xuất được file hợp lệ</t>
  </si>
  <si>
    <t>- Khoảng ngày không có dữ liệu</t>
  </si>
  <si>
    <t>- Không NaN/null crash; file có header và 0 dòng hoặc thông báo phù hợp.</t>
  </si>
  <si>
    <t>P2 | UI+API+DB+File | Automation: Yes | REQ-REPORT-01 | /api/reports</t>
  </si>
  <si>
    <t>RPT-013</t>
  </si>
  <si>
    <t>STAFF không truy cập report API/UI</t>
  </si>
  <si>
    <t>- 403 và không lộ doanh thu/chi phí.</t>
  </si>
  <si>
    <t>RPT-014</t>
  </si>
  <si>
    <t>Tải lại báo cáo không duplicate dòng</t>
  </si>
  <si>
    <t>- Click Tải lại nhiều lần</t>
  </si>
  <si>
    <t>- Một dataset nhất quán; không cộng KPI lặp.</t>
  </si>
  <si>
    <t>RPT-015</t>
  </si>
  <si>
    <t>Lỗi view/DB được xử lý an toàn</t>
  </si>
  <si>
    <t>- Mock SQL/view error</t>
  </si>
  <si>
    <t>- HTTP 500 chuẩn; UI thông báo retry; không lộ SQL/connection string.</t>
  </si>
  <si>
    <t>SHIFT-001</t>
  </si>
  <si>
    <t>HR - Ca mẫu</t>
  </si>
  <si>
    <t>CRUD ca làm việc mẫu</t>
  </si>
  <si>
    <t>Danh sách ca mẫu hiển thị đúng tên, giờ và lương</t>
  </si>
  <si>
    <t>Đăng nhập ADMIN; mở /admin/hr; có ca mẫu và staff ACTIVE.</t>
  </si>
  <si>
    <t>1. Mở mục quản lý ca mẫu hoặc gọi /api/hr/shifts.
2. Nhập dữ liệu và thực hiện CRUD.
3. Kiểm tra response/UI.
4. Đối chiếu shifts và staff_shifts snapshot.</t>
  </si>
  <si>
    <t>- Ca Sáng 06:00-12:00 25000; Ca Chiều; Ca Tối</t>
  </si>
  <si>
    <t>- Dữ liệu đúng DB, format giờ 24h và VND; không hiển thị deleted.</t>
  </si>
  <si>
    <t>P1 | UI+API+DB | Automation: Yes | REQ-HR-SHIFT-01 | /api/hr/shifts</t>
  </si>
  <si>
    <t>SHIFT-002</t>
  </si>
  <si>
    <t>Tạo ca mẫu hợp lệ</t>
  </si>
  <si>
    <t>- name=Ca Test; 09:00-15:00; rate=30000</t>
  </si>
  <si>
    <t>- Tạo shifts thành công; created data hiển thị; deleted_at NULL.</t>
  </si>
  <si>
    <t>P0 | UI+API+DB | Automation: Yes | REQ-HR-SHIFT-01 | /api/hr/shifts</t>
  </si>
  <si>
    <t>SHIFT-003</t>
  </si>
  <si>
    <t>Tên ca trống bị từ chối</t>
  </si>
  <si>
    <t>- name=' '</t>
  </si>
  <si>
    <t>- Validation; không tạo.</t>
  </si>
  <si>
    <t>SHIFT-004</t>
  </si>
  <si>
    <t>Giờ kết thúc bằng/nhỏ hơn giờ bắt đầu bị từ chối</t>
  </si>
  <si>
    <t>- 12:00-12:00 và 13:00-12:00</t>
  </si>
  <si>
    <t>- Validation lỗi; không tạo ca duration&lt;=0.</t>
  </si>
  <si>
    <t>SHIFT-005</t>
  </si>
  <si>
    <t>Lương/giờ bằng 0 bị từ chối</t>
  </si>
  <si>
    <t>- hourly_rate=0</t>
  </si>
  <si>
    <t>SHIFT-006</t>
  </si>
  <si>
    <t>Lương/giờ âm bị từ chối</t>
  </si>
  <si>
    <t>- hourly_rate=-1000</t>
  </si>
  <si>
    <t>SHIFT-007</t>
  </si>
  <si>
    <t>Cập nhật ca mẫu hợp lệ</t>
  </si>
  <si>
    <t>- Đổi 06:00-12:00 thành 06:00-11:30; rate=27000</t>
  </si>
  <si>
    <t>- PATCH thành công; ca mới dùng dữ liệu cập nhật.</t>
  </si>
  <si>
    <t>SHIFT-008</t>
  </si>
  <si>
    <t>hourly_rate_snapshot của phân ca cũ không đổi khi sửa ca mẫu</t>
  </si>
  <si>
    <t>- Phân ca rate snapshot=25000; sửa template=30000</t>
  </si>
  <si>
    <t>- staff_shift cũ vẫn 25000; phân ca mới snapshot=30000.</t>
  </si>
  <si>
    <t>SHIFT-009</t>
  </si>
  <si>
    <t>Soft delete ca mẫu</t>
  </si>
  <si>
    <t>- Ca chưa/đã có staff_shifts</t>
  </si>
  <si>
    <t>- deleted_at set; không dùng cho phân ca mới; phân ca/lịch sử cũ vẫn đọc được.</t>
  </si>
  <si>
    <t>SHIFT-010</t>
  </si>
  <si>
    <t>STAFF chỉ xem ca/lịch được phép, không CRUD ca mẫu</t>
  </si>
  <si>
    <t>- POST/PATCH/DELETE shifts trả 403; UI không có nút quản trị.</t>
  </si>
  <si>
    <t>HR-AVL</t>
  </si>
  <si>
    <t>Kiểm thử lịch rảnh nhân viên của hệ thống Mini Coffee POS &amp; Inventory System</t>
  </si>
  <si>
    <t>AVAIL-001</t>
  </si>
  <si>
    <t>HR - Lịch rảnh</t>
  </si>
  <si>
    <t>Staff availability</t>
  </si>
  <si>
    <t>STAFF đăng ký lịch rảnh hợp lệ</t>
  </si>
  <si>
    <t>Đăng nhập STAFF; mở /staff/hr mục Đăng ký lịch rảnh; có lịch theo tuần.</t>
  </si>
  <si>
    <t>1. Mở lịch rảnh/chọn ngày.
2. Nhập start/end/note theo dữ liệu.
3. Lưu hoặc xóa.
4. Kiểm tra calendar, API và staff_availability.</t>
  </si>
  <si>
    <t>- date ngày tương lai; 08:00-12:00; note</t>
  </si>
  <si>
    <t>- Tạo availability với staff_id từ token; lịch tuần hiển thị đúng.</t>
  </si>
  <si>
    <t>P0 | UI+API+DB | Automation: Yes | REQ-HR-AVAIL-01 | /api/hr/availability</t>
  </si>
  <si>
    <t>AVAIL-002</t>
  </si>
  <si>
    <t>Không cho đăng ký end_time &lt;= start_time</t>
  </si>
  <si>
    <t>- 12:00-12:00; 13:00-12:00</t>
  </si>
  <si>
    <t>AVAIL-003</t>
  </si>
  <si>
    <t>Không cho lịch rảnh overlap cùng ngày</t>
  </si>
  <si>
    <t>- Đã có 08:00-12:00; tạo 10:00-14:00</t>
  </si>
  <si>
    <t>- API báo overlap; không tạo dòng mới.</t>
  </si>
  <si>
    <t>AVAIL-004</t>
  </si>
  <si>
    <t>Cho phép hai khoảng liền kề không overlap</t>
  </si>
  <si>
    <t>- 08:00-12:00 và 12:00-15:00</t>
  </si>
  <si>
    <t>- Tạo được nếu rule interval end-exclusive; hiển thị hai block rõ.</t>
  </si>
  <si>
    <t>P1 | UI+API+DB | Automation: Yes | REQ-HR-AVAIL-01 | /api/hr/availability</t>
  </si>
  <si>
    <t>AVAIL-005</t>
  </si>
  <si>
    <t>Cho phép lịch rảnh khác ngày cùng giờ</t>
  </si>
  <si>
    <t>- Thứ 2 08-12; Thứ 3 08-12</t>
  </si>
  <si>
    <t>- Tạo cả hai; không false overlap.</t>
  </si>
  <si>
    <t>AVAIL-006</t>
  </si>
  <si>
    <t>Xóa lịch rảnh của chính mình</t>
  </si>
  <si>
    <t>- availability thuộc current staff</t>
  </si>
  <si>
    <t>- DELETE thành công; biến mất khỏi lịch; DB xóa/soft delete theo thiết kế.</t>
  </si>
  <si>
    <t>AVAIL-007</t>
  </si>
  <si>
    <t>Không thể xóa lịch rảnh của staff khác</t>
  </si>
  <si>
    <t>- staff A dùng id của B</t>
  </si>
  <si>
    <t>- 403/404; dữ liệu B không đổi.</t>
  </si>
  <si>
    <t>AVAIL-008</t>
  </si>
  <si>
    <t>ADMIN xem lịch rảnh của toàn bộ staff theo tuần</t>
  </si>
  <si>
    <t>- Nhiều staff đăng ký</t>
  </si>
  <si>
    <t>- Bảng admin hiển thị đúng người/ngày/khung giờ; không lẫn assigned shift.</t>
  </si>
  <si>
    <t>AVAIL-009</t>
  </si>
  <si>
    <t>Điều hướng tuần trước/sau tải đúng khoảng ngày</t>
  </si>
  <si>
    <t>- Tuần 13/07-19/07</t>
  </si>
  <si>
    <t>- Header và cột ngày cập nhật đúng; request không off-by-one/timezone.</t>
  </si>
  <si>
    <t>P2 | UI+API+DB | Automation: Yes | REQ-HR-AVAIL-01 | /api/hr/availability</t>
  </si>
  <si>
    <t>AVAIL-010</t>
  </si>
  <si>
    <t>Ghi chú Unicode/XSS hiển thị an toàn</t>
  </si>
  <si>
    <t>- note='&lt;script&gt;x&lt;/script&gt; – học buổi sáng'</t>
  </si>
  <si>
    <t>- Không thực thi script; lưu/hiển thị text.</t>
  </si>
  <si>
    <t>ASSIGN-001</t>
  </si>
  <si>
    <t>HR - Phân ca</t>
  </si>
  <si>
    <t>Staff shifts</t>
  </si>
  <si>
    <t>Phân ca bằng ca mẫu hợp lệ</t>
  </si>
  <si>
    <t>Đăng nhập ADMIN; có STAFF ACTIVE và ca mẫu; mở Lịch làm việc nhân sự.</t>
  </si>
  <si>
    <t>1. Chọn staff, ngày và ca mẫu/giờ tùy chỉnh.
2. Lưu phân ca hoặc cập nhật/xóa status.
3. Quan sát thông báo và lịch tuần.
4. Đối chiếu staff_shifts, snapshot, conflict và salary.</t>
  </si>
  <si>
    <t>- staff01; date tương lai; Ca Sáng</t>
  </si>
  <si>
    <t>- Tạo staff_shift PENDING, shift_id đúng, hourly_rate_snapshot từ template; lịch hiển thị ASSIGNED.</t>
  </si>
  <si>
    <t>P0 | UI+API+DB | Automation: Yes | REQ-HR-ASSIGN-01 | /api/hr/assigned-shifts</t>
  </si>
  <si>
    <t>ASSIGN-002</t>
  </si>
  <si>
    <t>Phân ca tùy chỉnh hợp lệ trong 06:00-23:00</t>
  </si>
  <si>
    <t>- 07:00-11:00 (4h)</t>
  </si>
  <si>
    <t>- Tạo với custom times; duration=4h; snapshot/rate đúng.</t>
  </si>
  <si>
    <t>ASSIGN-003</t>
  </si>
  <si>
    <t>Cho phép duration đúng tối thiểu 3 giờ</t>
  </si>
  <si>
    <t>- 06:00-09:00</t>
  </si>
  <si>
    <t>- Tạo thành công.</t>
  </si>
  <si>
    <t>P1 | UI+API+DB | Automation: Yes | REQ-HR-ASSIGN-01 | /api/hr/assigned-shifts</t>
  </si>
  <si>
    <t>ASSIGN-004</t>
  </si>
  <si>
    <t>Từ chối duration dưới 3 giờ</t>
  </si>
  <si>
    <t>- 06:00-08:59</t>
  </si>
  <si>
    <t>ASSIGN-005</t>
  </si>
  <si>
    <t>Cho phép duration đúng tối đa 16 giờ</t>
  </si>
  <si>
    <t>- 06:00-22:00</t>
  </si>
  <si>
    <t>- Tạo thành công nếu trong 6-23.</t>
  </si>
  <si>
    <t>ASSIGN-006</t>
  </si>
  <si>
    <t>Từ chối duration trên 16 giờ</t>
  </si>
  <si>
    <t>- 06:00-22:01</t>
  </si>
  <si>
    <t>ASSIGN-007</t>
  </si>
  <si>
    <t>Từ chối giờ bắt đầu trước 06:00</t>
  </si>
  <si>
    <t>- 05:59-09:00</t>
  </si>
  <si>
    <t>ASSIGN-008</t>
  </si>
  <si>
    <t>Từ chối giờ kết thúc sau 23:00</t>
  </si>
  <si>
    <t>- 19:00-23:01</t>
  </si>
  <si>
    <t>ASSIGN-009</t>
  </si>
  <si>
    <t>Từ chối end&lt;=start</t>
  </si>
  <si>
    <t>- 12:00-12:00 hoặc 14:00-12:00</t>
  </si>
  <si>
    <t>ASSIGN-010</t>
  </si>
  <si>
    <t>Phát hiện xung đột lịch cùng staff</t>
  </si>
  <si>
    <t>- Đã có 06:00-12:00; tạo 10:00-14:00</t>
  </si>
  <si>
    <t>- API báo conflict; không tạo.</t>
  </si>
  <si>
    <t>ASSIGN-011</t>
  </si>
  <si>
    <t>Cho phép ca liền kề</t>
  </si>
  <si>
    <t>- 06:00-12:00 và 12:00-18:00</t>
  </si>
  <si>
    <t>- Không overlap; tạo được.</t>
  </si>
  <si>
    <t>ASSIGN-012</t>
  </si>
  <si>
    <t>Không phân ca cho user role ADMIN hoặc STAFF INACTIVE/deleted</t>
  </si>
  <si>
    <t>- target user không phải ACTIVE STAFF</t>
  </si>
  <si>
    <t>- Validation/404; không tạo.</t>
  </si>
  <si>
    <t>ASSIGN-013</t>
  </si>
  <si>
    <t>Lịch tuần admin hiển thị assigned shift và availability riêng biệt</t>
  </si>
  <si>
    <t>- Một staff có cả ca và lịch rảnh</t>
  </si>
  <si>
    <t>- Hai loại block/nhãn phân biệt; đúng ngày/giờ.</t>
  </si>
  <si>
    <t>ASSIGN-014</t>
  </si>
  <si>
    <t>Cập nhật status PENDING thành COMPLETED</t>
  </si>
  <si>
    <t>- Ca đã làm và dữ liệu chấm công hợp lệ</t>
  </si>
  <si>
    <t>- Status cập nhật; total_salary nhất quán; lịch/báo cáo phản ánh.</t>
  </si>
  <si>
    <t>ASSIGN-015</t>
  </si>
  <si>
    <t>Cập nhật status PENDING thành ABSENT</t>
  </si>
  <si>
    <t>- Ca vắng</t>
  </si>
  <si>
    <t>- Status ABSENT; total_salary=0.</t>
  </si>
  <si>
    <t>ASSIGN-016</t>
  </si>
  <si>
    <t>Xóa phân ca PENDING chưa chấm công</t>
  </si>
  <si>
    <t>- staff_shift PENDING, no check-in</t>
  </si>
  <si>
    <t>- DELETE thành công; lịch cập nhật; không để attendance mồ côi.</t>
  </si>
  <si>
    <t>ASSIGN-017</t>
  </si>
  <si>
    <t>Không xóa ca COMPLETED có chấm công/lương</t>
  </si>
  <si>
    <t>- staff_shift COMPLETED</t>
  </si>
  <si>
    <t>- Hệ thống chặn hoặc yêu cầu quy trình điều chỉnh; không mất lịch sử.</t>
  </si>
  <si>
    <t>ASSIGN-018</t>
  </si>
  <si>
    <t>Hai admin phân cùng ca đồng thời không tạo overlap</t>
  </si>
  <si>
    <t>- Hai request cùng staff/time</t>
  </si>
  <si>
    <t>- Chỉ một staff_shift commit; request còn lại conflict.</t>
  </si>
  <si>
    <t>P0 | UI+API+DB | Automation: Partial | REQ-HR-ASSIGN-01 | /api/hr/assigned-shifts</t>
  </si>
  <si>
    <t>REQ-001</t>
  </si>
  <si>
    <t>HR - Yêu cầu nhân viên</t>
  </si>
  <si>
    <t>Leave &amp; Swap</t>
  </si>
  <si>
    <t>STAFF tạo yêu cầu LEAVE hợp lệ</t>
  </si>
  <si>
    <t>Có staff_shift PENDING; đăng nhập STAFF để tạo request và ADMIN để xử lý.</t>
  </si>
  <si>
    <t>1. Tạo request với staff theo dữ liệu hoặc mở danh sách admin.
2. Thực hiện gửi/duyệt/từ chối.
3. Kiểm tra UI/API.
4. Đối chiếu staff_requests và staff_shifts atomically.</t>
  </si>
  <si>
    <t>- target_date có ca; reason='Việc gia đình'</t>
  </si>
  <si>
    <t>- Tạo request type=LEAVE,status=PENDING,staff_id token,target shift đúng; admin thấy yêu cầu.</t>
  </si>
  <si>
    <t>P0 | UI+API+DB | Automation: Yes | REQ-HR-REQUEST-01 | /api/hr/requests</t>
  </si>
  <si>
    <t>REQ-002</t>
  </si>
  <si>
    <t>STAFF tạo yêu cầu SWAP hợp lệ</t>
  </si>
  <si>
    <t>- Ca A; swap_with_staff_id=B ACTIVE</t>
  </si>
  <si>
    <t>- Tạo PENDING; chứa target_shift và người nhận đổi.</t>
  </si>
  <si>
    <t>REQ-003</t>
  </si>
  <si>
    <t>Reason bắt buộc</t>
  </si>
  <si>
    <t>- reason=''</t>
  </si>
  <si>
    <t>REQ-004</t>
  </si>
  <si>
    <t>Không tạo request cho ca không thuộc mình</t>
  </si>
  <si>
    <t>- target_shift của staff khác</t>
  </si>
  <si>
    <t>- 403/validation; không tạo.</t>
  </si>
  <si>
    <t>REQ-005</t>
  </si>
  <si>
    <t>Không tạo request cho ca đã COMPLETED/ABSENT</t>
  </si>
  <si>
    <t>- target shift status không PENDING</t>
  </si>
  <si>
    <t>REQ-006</t>
  </si>
  <si>
    <t>SWAP không được đổi với chính mình</t>
  </si>
  <si>
    <t>- swap_with_staff_id=current staff</t>
  </si>
  <si>
    <t>REQ-007</t>
  </si>
  <si>
    <t>SWAP không được chọn user INACTIVE/deleted/non-STAFF</t>
  </si>
  <si>
    <t>- target invalid</t>
  </si>
  <si>
    <t>REQ-008</t>
  </si>
  <si>
    <t>Chặn duplicate PENDING cho cùng ca/loại</t>
  </si>
  <si>
    <t>- Đã có leave pending; gửi lại</t>
  </si>
  <si>
    <t>- Conflict hoặc một request duy nhất; không spam.</t>
  </si>
  <si>
    <t>P1 | UI+API+DB | Automation: Yes | REQ-HR-REQUEST-01 | /api/hr/requests</t>
  </si>
  <si>
    <t>REQ-009</t>
  </si>
  <si>
    <t>ADMIN duyệt LEAVE</t>
  </si>
  <si>
    <t>- Request PENDING</t>
  </si>
  <si>
    <t>- Request APPROVED; processed_by/at/note set; target shift ABSENT, total_salary=0.</t>
  </si>
  <si>
    <t>REQ-010</t>
  </si>
  <si>
    <t>ADMIN từ chối LEAVE</t>
  </si>
  <si>
    <t>- Request REJECTED; shift giữ PENDING; admin_note lưu.</t>
  </si>
  <si>
    <t>REQ-011</t>
  </si>
  <si>
    <t>ADMIN duyệt SWAP và hoán đổi staff_id</t>
  </si>
  <si>
    <t>- Hai ca phù hợp/no conflict</t>
  </si>
  <si>
    <t>- staff_id trên các staff_shifts hoán đổi đúng; request APPROVED; rates/times giữ nguyên.</t>
  </si>
  <si>
    <t>REQ-012</t>
  </si>
  <si>
    <t>Không duyệt SWAP nếu gây xung đột lịch</t>
  </si>
  <si>
    <t>- Người B đã có ca overlap</t>
  </si>
  <si>
    <t>- Duyệt thất bại/không APPROVED; không thay đổi bất kỳ staff_shift.</t>
  </si>
  <si>
    <t>REQ-013</t>
  </si>
  <si>
    <t>Không xử lý lại request APPROVED/REJECTED</t>
  </si>
  <si>
    <t>- Request đã processed</t>
  </si>
  <si>
    <t>- PATCH lần hai bị từ chối/idempotent; processed metadata không bị ghi đè.</t>
  </si>
  <si>
    <t>REQ-014</t>
  </si>
  <si>
    <t>STAFF chỉ xem request của mình; ADMIN xem tất cả</t>
  </si>
  <si>
    <t>- Nhiều staff requests</t>
  </si>
  <si>
    <t>- Phân quyền dữ liệu đúng; staff A không thấy B.</t>
  </si>
  <si>
    <t>REQ-015</t>
  </si>
  <si>
    <t>Admin note Unicode/XSS an toàn</t>
  </si>
  <si>
    <t>- admin_note='&lt;b&gt;Từ chối&lt;/b&gt; – thiếu người'</t>
  </si>
  <si>
    <t>- Lưu text; không render HTML.</t>
  </si>
  <si>
    <t>ATT</t>
  </si>
  <si>
    <t>Kiểm thử chấm công bằng QR của hệ thống Mini Coffee POS &amp; Inventory System</t>
  </si>
  <si>
    <t>ATT-001</t>
  </si>
  <si>
    <t>Chấm công</t>
  </si>
  <si>
    <t>QR check-in/check-out</t>
  </si>
  <si>
    <t>ADMIN lấy QR token hôm nay</t>
  </si>
  <si>
    <t>Có staff_shift PENDING trong ngày; ADMIN mở /admin/hr/attendance; STAFF dùng token hợp lệ để check-in/out.</t>
  </si>
  <si>
    <t>1. Chuẩn bị staff_shift, clock và QR token theo dữ liệu.
2. Gọi endpoint bằng đúng role hoặc scan QR.
3. Quan sát response/today-status.
4. Đối chiếu staff_shifts check-in/out, lateness, salary, status và logs.</t>
  </si>
  <si>
    <t>- Ngày hệ thống 2026-07-17</t>
  </si>
  <si>
    <t>- GET trả token tương ứng SHA256(salt+'2026-07-17') và UI render QR; không trả salt.</t>
  </si>
  <si>
    <t>P0 | UI+API+DB+Security | Automation: Partial | REQ-ATTENDANCE-01 | /api/attendance</t>
  </si>
  <si>
    <t>ATT-002</t>
  </si>
  <si>
    <t>QR token thay đổi sang ngày mới</t>
  </si>
  <si>
    <t>- So sánh 17/07 và 18/07</t>
  </si>
  <si>
    <t>- Token khác nhau; QR cũ không hợp lệ ngày mới.</t>
  </si>
  <si>
    <t>ATT-003</t>
  </si>
  <si>
    <t>STAFF không được gọi endpoint qr-token</t>
  </si>
  <si>
    <t>- HTTP 403; không lộ token admin.</t>
  </si>
  <si>
    <t>P0 | UI+API+DB+Security | Automation: Yes | REQ-ATTENDANCE-01 | /api/attendance</t>
  </si>
  <si>
    <t>ATT-004</t>
  </si>
  <si>
    <t>Check-in thành công bằng token hôm nay</t>
  </si>
  <si>
    <t>- Staff có ca PENDING hôm nay; token valid</t>
  </si>
  <si>
    <t>- check_in_at set hiện tại; lateness_minutes tính; today-status cập nhật; không tạo record rời.</t>
  </si>
  <si>
    <t>ATT-005</t>
  </si>
  <si>
    <t>Token QR sai bị từ chối</t>
  </si>
  <si>
    <t>- token=random</t>
  </si>
  <si>
    <t>- 401/400; check_in_at không đổi.</t>
  </si>
  <si>
    <t>ATT-006</t>
  </si>
  <si>
    <t>Token QR ngày hôm qua bị từ chối</t>
  </si>
  <si>
    <t>- token valid previous date</t>
  </si>
  <si>
    <t>- Không check-in; thông báo mã hết hạn/không hợp lệ.</t>
  </si>
  <si>
    <t>ATT-007</t>
  </si>
  <si>
    <t>Không check-in nếu không có ca hôm nay</t>
  </si>
  <si>
    <t>- Staff không assigned shift</t>
  </si>
  <si>
    <t>- API báo không có ca; không ghi attendance.</t>
  </si>
  <si>
    <t>ATT-008</t>
  </si>
  <si>
    <t>Không check-in vào ca của staff khác</t>
  </si>
  <si>
    <t>- Token staff A; shift B</t>
  </si>
  <si>
    <t>- Hệ thống chọn theo current user; không cập nhật shift B.</t>
  </si>
  <si>
    <t>ATT-009</t>
  </si>
  <si>
    <t>Không check-in hai lần</t>
  </si>
  <si>
    <t>- check_in_at đã set</t>
  </si>
  <si>
    <t>- Lần hai bị từ chối/idempotent; timestamp đầu giữ nguyên.</t>
  </si>
  <si>
    <t>ATT-010</t>
  </si>
  <si>
    <t>Đi sớm/đúng giờ lateness=0</t>
  </si>
  <si>
    <t>- shift start 08:00; check-in 07:50 hoặc 08:00</t>
  </si>
  <si>
    <t>- lateness_minutes=0, không âm.</t>
  </si>
  <si>
    <t>ATT-011</t>
  </si>
  <si>
    <t>Đi trễ tính đúng số phút</t>
  </si>
  <si>
    <t>- shift start 08:00; check-in 08:17</t>
  </si>
  <si>
    <t>- lateness_minutes=17 theo timezone local; không làm tròn sai.</t>
  </si>
  <si>
    <t>ATT-012</t>
  </si>
  <si>
    <t>Check-out thành công</t>
  </si>
  <si>
    <t>- Đã check-in; now sau check-in</t>
  </si>
  <si>
    <t>- check_out_at set; actual_hours tính từ timestamps; total_salary=actual_hours×hourly_rate_snapshot; status=COMPLETED.</t>
  </si>
  <si>
    <t>ATT-013</t>
  </si>
  <si>
    <t>Không check-out trước check-in</t>
  </si>
  <si>
    <t>- check_in_at NULL</t>
  </si>
  <si>
    <t>- Validation; không cập nhật shift.</t>
  </si>
  <si>
    <t>ATT-014</t>
  </si>
  <si>
    <t>Không check-out hai lần</t>
  </si>
  <si>
    <t>- check_out_at đã set</t>
  </si>
  <si>
    <t>- Lần hai bị từ chối/idempotent; salary/timestamp không thay đổi.</t>
  </si>
  <si>
    <t>ATT-015</t>
  </si>
  <si>
    <t>Không cho check-out trước check-in do clock/payload bất thường</t>
  </si>
  <si>
    <t>- Mock now &lt; check_in_at</t>
  </si>
  <si>
    <t>- Không actual_hours âm; API báo lỗi có kiểm soát.</t>
  </si>
  <si>
    <t>ATT-016</t>
  </si>
  <si>
    <t>Tính salary với giờ thập phân chính xác</t>
  </si>
  <si>
    <t>- check-in 08:00, out 12:30, rate=25000</t>
  </si>
  <si>
    <t>- actual_hours=4.5; total_salary=112500 theo quy tắc làm tròn tiền.</t>
  </si>
  <si>
    <t>ATT-017</t>
  </si>
  <si>
    <t>Tính theo custom_start/end và rate snapshot</t>
  </si>
  <si>
    <t>- Ca custom; template sau đó đổi rate</t>
  </si>
  <si>
    <t>- lateness dựa custom_start; salary dùng snapshot, không rate hiện tại.</t>
  </si>
  <si>
    <t>ATT-018</t>
  </si>
  <si>
    <t>Today-status phản ánh đúng trạng thái chưa check-in/đã in/đã out</t>
  </si>
  <si>
    <t>- Thực hiện tuần tự</t>
  </si>
  <si>
    <t>- Response chuyển trạng thái đúng và chứa shift/time cần thiết, không dữ liệu staff khác.</t>
  </si>
  <si>
    <t>P1 | UI+API+DB+Security | Automation: Yes | REQ-ATTENDANCE-01 | /api/attendance</t>
  </si>
  <si>
    <t>ATT-019</t>
  </si>
  <si>
    <t>Attendance logs ADMIN lọc theo staff/ngày</t>
  </si>
  <si>
    <t>- Nhiều logs</t>
  </si>
  <si>
    <t>- Kết quả đúng, gồm check-in/out/lateness/hours/salary/status; STAFF bị 403.</t>
  </si>
  <si>
    <t>ATT-020</t>
  </si>
  <si>
    <t>Hai request check-in đồng thời chỉ ghi một lần</t>
  </si>
  <si>
    <t>- Gửi song song cùng token</t>
  </si>
  <si>
    <t>- Một timestamp; request còn lại conflict/idempotent; không duplicate.</t>
  </si>
  <si>
    <t>HRCOST-001</t>
  </si>
  <si>
    <t>HR - Lương &amp; lịch</t>
  </si>
  <si>
    <t>Salary summary &amp; cost report</t>
  </si>
  <si>
    <t>STAFF xem tổng kết lương cá nhân</t>
  </si>
  <si>
    <t>Có staff_shifts COMPLETED/ABSENT/PENDING nhiều staff/ngày; đăng nhập đúng role.</t>
  </si>
  <si>
    <t>1. Mở màn hình lương/lịch hoặc gọi endpoint.
2. Chọn khoảng ngày/tuần.
3. Tải dữ liệu.
4. Đối chiếu staff_shifts, user và tổng hợp.</t>
  </si>
  <si>
    <t>- Có 2 COMPLETED, 1 ABSENT</t>
  </si>
  <si>
    <t>- Chỉ dữ liệu current staff; số ca hoàn thành và tổng lương đúng; ABSENT=0, PENDING không cộng.</t>
  </si>
  <si>
    <t>P0 | UI+API+DB | Automation: Yes | REQ-HR-COST-01 | /api/hr/salary-summary | /api/hr/cost-report</t>
  </si>
  <si>
    <t>HRCOST-002</t>
  </si>
  <si>
    <t>ADMIN xem cost report theo khoảng ngày</t>
  </si>
  <si>
    <t>- Nhiều staff</t>
  </si>
  <si>
    <t>- Mỗi staff có số ca completed và tổng salary đúng; tổng toàn bộ khớp staff_shifts.</t>
  </si>
  <si>
    <t>HRCOST-003</t>
  </si>
  <si>
    <t>Khoảng ngày report bao gồm biên</t>
  </si>
  <si>
    <t>- from/to</t>
  </si>
  <si>
    <t>- Ca shift_date ở ngày đầu/cuối được tính; không lệch timezone.</t>
  </si>
  <si>
    <t>P1 | UI+API+DB | Automation: Yes | REQ-HR-COST-01 | /api/hr/salary-summary | /api/hr/cost-report</t>
  </si>
  <si>
    <t>HRCOST-004</t>
  </si>
  <si>
    <t>from &gt; to bị từ chối</t>
  </si>
  <si>
    <t>- from 18/07, to 17/07</t>
  </si>
  <si>
    <t>- Validation; không trả report sai.</t>
  </si>
  <si>
    <t>HRCOST-005</t>
  </si>
  <si>
    <t>Ca COMPLETED thiếu check-out/salary bất thường không làm crash</t>
  </si>
  <si>
    <t>- Dữ liệu lỗi test</t>
  </si>
  <si>
    <t>- Report xử lý null an toàn hoặc cảnh báo; không NaN.</t>
  </si>
  <si>
    <t>HRCOST-006</t>
  </si>
  <si>
    <t>hourly_rate_snapshot được dùng thay vì rate hiện tại</t>
  </si>
  <si>
    <t>- Template rate thay đổi sau phân ca</t>
  </si>
  <si>
    <t>- Cost report giữ salary snapshot/total_salary đã tính.</t>
  </si>
  <si>
    <t>HRCOST-007</t>
  </si>
  <si>
    <t>STAFF không truy cập cost report toàn hệ thống</t>
  </si>
  <si>
    <t>- 403; chỉ endpoint salary-summary cá nhân được phép.</t>
  </si>
  <si>
    <t>HRCOST-008</t>
  </si>
  <si>
    <t>No-data report trả danh sách rỗng/tổng 0</t>
  </si>
  <si>
    <t>- Khoảng ngày không có ca</t>
  </si>
  <si>
    <t>- UI empty state; API values 0 không null.</t>
  </si>
  <si>
    <t>P2 | UI+API+DB | Automation: Yes | REQ-HR-COST-01 | /api/hr/salary-summary | /api/hr/cost-report</t>
  </si>
  <si>
    <t>HRCOST-009</t>
  </si>
  <si>
    <t>Danh sách active-staff chỉ role STAFF status ACTIVE chưa deleted</t>
  </si>
  <si>
    <t>- Có admin/inactive/deleted staff</t>
  </si>
  <si>
    <t>- Chỉ staff hợp lệ phục vụ dropdown phân ca/swap.</t>
  </si>
  <si>
    <t>HRCOST-010</t>
  </si>
  <si>
    <t>Lịch tuần tải lại và điều hướng không duplicate ca</t>
  </si>
  <si>
    <t>- Nhiều tuần</t>
  </si>
  <si>
    <t>- Mỗi cell đúng ca; không lặp khi đổi tuần/reload.</t>
  </si>
  <si>
    <t>USER</t>
  </si>
  <si>
    <t>Kiểm thử quản lý người dùng của hệ thống Mini Coffee POS &amp; Inventory System</t>
  </si>
  <si>
    <t>USER-001</t>
  </si>
  <si>
    <t>Quản lý người dùng</t>
  </si>
  <si>
    <t>User CRUD &amp; reset password</t>
  </si>
  <si>
    <t>Danh sách user chỉ ADMIN xem</t>
  </si>
  <si>
    <t>Đăng nhập ADMIN; mở /admin/hr mục Quản lý tài khoản; có users nhiều role/status.</t>
  </si>
  <si>
    <t>1. Mở quản lý tài khoản hoặc gọi /api/users.
2. Nhập dữ liệu/ID theo ca kiểm thử.
3. Thực hiện create/read/update/reset/delete.
4. Kiểm tra response, UI, DB và login/RBAC.</t>
  </si>
  <si>
    <t>- ADMIN và STAFF gọi</t>
  </si>
  <si>
    <t>- ADMIN nhận username, email, fullName, role, status; không password_hash/reset token; STAFF 403.</t>
  </si>
  <si>
    <t>P0 | UI+API+DB+Security | Automation: Yes | REQ-USER-01 | /api/users</t>
  </si>
  <si>
    <t>USER-002</t>
  </si>
  <si>
    <t>Tạo STAFF hợp lệ với mật khẩu auto-generate</t>
  </si>
  <si>
    <t>- username=staff_auto; email=staff.auto@example.com; role=STAFF</t>
  </si>
  <si>
    <t>- User ACTIVE được tạo; password được sinh theo cơ chế an toàn và cung cấp/gửi theo thiết kế; DB chỉ lưu bcrypt hash.</t>
  </si>
  <si>
    <t>USER-003</t>
  </si>
  <si>
    <t>Tạo ADMIN hợp lệ</t>
  </si>
  <si>
    <t>- username=admin2; email=admin2@example.com; role=ADMIN</t>
  </si>
  <si>
    <t>- Tạo đúng role/status; có thể login bằng credential được cấp.</t>
  </si>
  <si>
    <t>USER-004</t>
  </si>
  <si>
    <t>Username trùng không phân biệt hoa/thường bị từ chối</t>
  </si>
  <si>
    <t>- Đã có staff; tạo STAFF</t>
  </si>
  <si>
    <t>- Conflict; không tạo.</t>
  </si>
  <si>
    <t>USER-005</t>
  </si>
  <si>
    <t>Email trùng user khác bị từ chối</t>
  </si>
  <si>
    <t>- email đã tồn tại</t>
  </si>
  <si>
    <t>USER-006</t>
  </si>
  <si>
    <t>Email sai regex bị từ chối</t>
  </si>
  <si>
    <t>- email=user@</t>
  </si>
  <si>
    <t>P1 | UI+API+DB+Security | Automation: Yes | REQ-USER-01 | /api/users</t>
  </si>
  <si>
    <t>USER-007</t>
  </si>
  <si>
    <t>Role ngoài ADMIN/STAFF bị từ chối</t>
  </si>
  <si>
    <t>- role=MANAGER</t>
  </si>
  <si>
    <t>- API 400; không tạo.</t>
  </si>
  <si>
    <t>USER-008</t>
  </si>
  <si>
    <t>Status ngoài ACTIVE/INACTIVE bị từ chối</t>
  </si>
  <si>
    <t>- status=LOCKED</t>
  </si>
  <si>
    <t>USER-009</t>
  </si>
  <si>
    <t>Lấy chi tiết user theo id</t>
  </si>
  <si>
    <t>- id hợp lệ</t>
  </si>
  <si>
    <t>- Trả đúng user; không field nhạy cảm; id không tồn tại 404.</t>
  </si>
  <si>
    <t>USER-010</t>
  </si>
  <si>
    <t>Cập nhật fullName/email/role/status hợp lệ</t>
  </si>
  <si>
    <t>- User test</t>
  </si>
  <si>
    <t>- PATCH chỉ field cho phép; dữ liệu UI/DB cập nhật.</t>
  </si>
  <si>
    <t>USER-011</t>
  </si>
  <si>
    <t>Đổi user ACTIVE sang INACTIVE chặn login ngay lần sau</t>
  </si>
  <si>
    <t>- User đang ACTIVE</t>
  </si>
  <si>
    <t>- status INACTIVE; login bị từ chối; token cũ khi gọi protected được xử lý theo policy (nên chặn nếu middleware kiểm DB).</t>
  </si>
  <si>
    <t>USER-012</t>
  </si>
  <si>
    <t>Đổi role STAFF→ADMIN áp dụng phân quyền nhất quán</t>
  </si>
  <si>
    <t>- User STAFF</t>
  </si>
  <si>
    <t>- Role DB cập nhật; phiên/token cũ không tự nâng quyền nếu claim cũ; login/token mới có quyền ADMIN.</t>
  </si>
  <si>
    <t>USER-013</t>
  </si>
  <si>
    <t>Admin reset mật khẩu user</t>
  </si>
  <si>
    <t>- User ACTIVE</t>
  </si>
  <si>
    <t>- Hash mới được lưu; credential mới đăng nhập được; cũ thất bại; không lộ hash.</t>
  </si>
  <si>
    <t>USER-014</t>
  </si>
  <si>
    <t>Reset mật khẩu với độ dài ngoài 6–63 bị từ chối</t>
  </si>
  <si>
    <t>- newPassword 5 và 64 ký tự</t>
  </si>
  <si>
    <t>- Validation; hash không đổi.</t>
  </si>
  <si>
    <t>USER-015</t>
  </si>
  <si>
    <t>Soft delete user</t>
  </si>
  <si>
    <t>- User test không phải current admin hoặc theo policy</t>
  </si>
  <si>
    <t>- deleted_at set; không xuất hiện list/login; orders/shifts lịch sử vẫn join snapshot/identity hợp lý.</t>
  </si>
  <si>
    <t>USER-016</t>
  </si>
  <si>
    <t>Không thao tác user id không tồn tại</t>
  </si>
  <si>
    <t>- random UUID</t>
  </si>
  <si>
    <t>- GET/PATCH/reset/delete trả 404; không lỗi 500.</t>
  </si>
  <si>
    <t>USER-017</t>
  </si>
  <si>
    <t>Ngăn mass assignment created_by/deleted_at/password_hash</t>
  </si>
  <si>
    <t>- Payload thêm role/status/created_by trái quyền hoặc password_hash</t>
  </si>
  <si>
    <t>- Chỉ field whitelist được cập nhật; không ghi hash trực tiếp/không xóa trái phép.</t>
  </si>
  <si>
    <t>NFR-001</t>
  </si>
  <si>
    <t>Bảo mật &amp; Phi chức năng</t>
  </si>
  <si>
    <t>Cross-cutting</t>
  </si>
  <si>
    <t>Tất cả endpoint protected thiếu Authorization trả 401</t>
  </si>
  <si>
    <t>Môi trường test ổn định; có thể dùng Playwright/API client và công cụ đo hiệu năng; dữ liệu test cô lập.</t>
  </si>
  <si>
    <t>1. Chọn màn hình/endpoint đại diện.
2. Thiết lập môi trường/dữ liệu/tool theo Test data.
3. Thực hiện test và thu log/trace/metric.
4. Đối chiếu tiêu chí Expected Output.</t>
  </si>
  <si>
    <t>- Chọn mẫu từ products, orders, stock, reports, hr</t>
  </si>
  <si>
    <t>- Mỗi endpoint trả 401 JSON nhất quán; không redirect HTML; không dữ liệu.</t>
  </si>
  <si>
    <t>P0 | API+Security | Automation: Yes | REQ-NFR-01 | Nhiều route</t>
  </si>
  <si>
    <t>NFR-002</t>
  </si>
  <si>
    <t>Authorization header sai scheme bị từ chối</t>
  </si>
  <si>
    <t>- Basic token; Bearer rỗng</t>
  </si>
  <si>
    <t>- 401; không crash.</t>
  </si>
  <si>
    <t>P1 | API+Security | Automation: Yes | REQ-NFR-01 | Nhiều route</t>
  </si>
  <si>
    <t>NFR-003</t>
  </si>
  <si>
    <t>Response lỗi không lộ stack trace, SQL, DATABASE_URL, JWT_SECRET</t>
  </si>
  <si>
    <t>- Gây validation, 404, mocked 500</t>
  </si>
  <si>
    <t>- Chỉ message/code an toàn; log server có correlation nếu thiết kế.</t>
  </si>
  <si>
    <t>NFR-004</t>
  </si>
  <si>
    <t>CORS chỉ cho CLIENT_URL</t>
  </si>
  <si>
    <t>- Origin hợp lệ và origin lạ</t>
  </si>
  <si>
    <t>- Origin hợp lệ được phép; origin lạ không có ACAO cho credential/request protected.</t>
  </si>
  <si>
    <t>P0 | API+Security | Automation: Partial | REQ-NFR-01 | Nhiều route</t>
  </si>
  <si>
    <t>NFR-005</t>
  </si>
  <si>
    <t>Content-Type JSON sai/malformed được xử lý</t>
  </si>
  <si>
    <t>- application/json body lỗi syntax</t>
  </si>
  <si>
    <t>- 400 chuẩn; không 500; transaction không chạy.</t>
  </si>
  <si>
    <t>P1 | API | Automation: Yes | REQ-NFR-01 | Nhiều route</t>
  </si>
  <si>
    <t>NFR-006</t>
  </si>
  <si>
    <t>Không có dữ liệu nhạy cảm trong localStorage/UI/log browser</t>
  </si>
  <si>
    <t>- Sau login/reset/profile</t>
  </si>
  <si>
    <t>- Không lưu plaintext password/OTP/hash; token chỉ ở vị trí thiết kế và được xóa logout.</t>
  </si>
  <si>
    <t>P0 | UI+Security | Automation: Partial | REQ-NFR-01 | Nhiều route</t>
  </si>
  <si>
    <t>NFR-007</t>
  </si>
  <si>
    <t>Trang danh sách chính tải trong SLA với dữ liệu lớn</t>
  </si>
  <si>
    <t>- 1000 products/ingredients/orders; SLA đề xuất &lt;=3s UI, &lt;=1s API p95 local test</t>
  </si>
  <si>
    <t>- Đáp ứng SLA hoặc ghi số đo; UI không treo; có pagination/virtualization nếu cần.</t>
  </si>
  <si>
    <t>P1 | Performance | Automation: Partial | REQ-NFR-01 | Nhiều route</t>
  </si>
  <si>
    <t>NFR-008</t>
  </si>
  <si>
    <t>POST order giữ tính đúng dưới tải đồng thời</t>
  </si>
  <si>
    <t>- 20 staff/requests; stock đủ</t>
  </si>
  <si>
    <t>- Không duplicate code/lost stock; tỷ lệ lỗi trong ngưỡng; response time được ghi.</t>
  </si>
  <si>
    <t>P0 | Performance+Concurrency | Automation: Partial | REQ-NFR-01 | Nhiều route</t>
  </si>
  <si>
    <t>NFR-009</t>
  </si>
  <si>
    <t>Layout desktop không vỡ ở 1366×768 và 1920×1080</t>
  </si>
  <si>
    <t>- Các màn hình screenshot chính</t>
  </si>
  <si>
    <t>- Sidebar, header, bảng/form usable; không che nút; scroll hợp lý.</t>
  </si>
  <si>
    <t>P1 | UI | Automation: Yes | REQ-NFR-01 | Nhiều route</t>
  </si>
  <si>
    <t>NFR-010</t>
  </si>
  <si>
    <t>Responsive mobile web ở 375×812</t>
  </si>
  <si>
    <t>- Login, profile, POS, KDS, history</t>
  </si>
  <si>
    <t>- Không tràn ngang ngoài bảng được thiết kế; controls tap được; modal/keyboard không che submit.</t>
  </si>
  <si>
    <t>NFR-011</t>
  </si>
  <si>
    <t>Keyboard navigation và focus cơ bản</t>
  </si>
  <si>
    <t>- Login, form CRUD, modal</t>
  </si>
  <si>
    <t>- Tab order hợp lý; focus visible; Enter/Space kích hoạt nút; Esc đóng modal nếu có.</t>
  </si>
  <si>
    <t>P2 | Accessibility | Automation: Partial | REQ-NFR-01 | Nhiều route</t>
  </si>
  <si>
    <t>NFR-012</t>
  </si>
  <si>
    <t>Label và thông báo lỗi liên kết form</t>
  </si>
  <si>
    <t>- Các field bắt buộc</t>
  </si>
  <si>
    <t>- Có accessible name/label; lỗi rõ field, không chỉ dựa màu.</t>
  </si>
  <si>
    <t>NFR-013</t>
  </si>
  <si>
    <t>Định dạng VND thống nhất</t>
  </si>
  <si>
    <t>- 0, 25000, 214000, số âm refund</t>
  </si>
  <si>
    <t>- Hiển thị 0 ₫/25.000 ₫/214.000 ₫ và dấu âm nhất quán; tính toán dùng số không parse chuỗi.</t>
  </si>
  <si>
    <t>NFR-014</t>
  </si>
  <si>
    <t>Timezone ngày/giờ nhất quán Việt Nam</t>
  </si>
  <si>
    <t>- Order, shift, attendance quanh 00:00</t>
  </si>
  <si>
    <t>- UI/API/report cùng ngày local; stored UTC/local theo thiết kế nhưng không lệch.</t>
  </si>
  <si>
    <t>P0 | UI+API+DB | Automation: Partial | REQ-NFR-01 | Nhiều route</t>
  </si>
  <si>
    <t>NFR-015</t>
  </si>
  <si>
    <t>Refresh/back/deep-link không gây trang trắng</t>
  </si>
  <si>
    <t>- Mở trực tiếp các protected routes sau login</t>
  </si>
  <si>
    <t>- Router render đúng; server SPA fallback cấu hình; unauthorized xử lý đúng.</t>
  </si>
  <si>
    <t>NFR-016</t>
  </si>
  <si>
    <t>Mất mạng tạm thời và retry không tạo tác vụ trùng</t>
  </si>
  <si>
    <t>- Checkout, refund, import stock</t>
  </si>
  <si>
    <t>- UI báo trạng thái; retry an toàn; không duplicate order/refund/import do người dùng bấm lại.</t>
  </si>
  <si>
    <t>P0 | UI+API | Automation: Partial | REQ-NFR-01 | Nhiều route</t>
  </si>
  <si>
    <t>NFR-017</t>
  </si>
  <si>
    <t>Input Unicode tiếng Việt được lưu/hiển thị đúng</t>
  </si>
  <si>
    <t>- Tên, note, reason có dấu</t>
  </si>
  <si>
    <t>- UTF-8 end-to-end; không mojibake/truncate.</t>
  </si>
  <si>
    <t>P1 | UI+API+DB | Automation: Yes | REQ-NFR-01 | Nhiều route</t>
  </si>
  <si>
    <t>NFR-018</t>
  </si>
  <si>
    <t>Các phép toán số lượng lớn không overflow</t>
  </si>
  <si>
    <t>- price/stock/quantity lớn trong giới hạn DB</t>
  </si>
  <si>
    <t>- API validation/NUMERIC xử lý; không Infinity/NaN; response an toàn.</t>
  </si>
  <si>
    <t>P1 | API+DB | Automation: Yes | REQ-NFR-01 | Nhiều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</si>
</sst>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color rgb="FF000000"/>
      <name val="Arial"/>
    </font>
    <font>
      <b/>
      <i/>
      <sz val="22"/>
      <color rgb="FF1F4E78"/>
      <name val="Comic Relief"/>
    </font>
    <font>
      <sz val="10"/>
      <name val="Arial"/>
    </font>
    <font>
      <b/>
      <i/>
      <sz val="11"/>
      <color rgb="FF373F6B"/>
      <name val="Comic Relief"/>
    </font>
    <font>
      <i/>
      <sz val="11"/>
      <color rgb="FF373F6B"/>
      <name val="Comic Relief"/>
    </font>
    <font>
      <i/>
      <sz val="11"/>
      <color rgb="FFFFFFFF"/>
      <name val="Comic Relief"/>
    </font>
    <font>
      <b/>
      <i/>
      <sz val="20"/>
      <color rgb="FF1F4E78"/>
      <name val="Comic Relief"/>
    </font>
    <font>
      <sz val="10"/>
      <color theme="1"/>
      <name val="Arial"/>
    </font>
    <font>
      <b/>
      <i/>
      <sz val="12"/>
      <color rgb="FFFFFFFF"/>
      <name val="Comic Relief"/>
    </font>
    <font>
      <i/>
      <sz val="12"/>
      <color theme="1"/>
      <name val="Comic Relief"/>
    </font>
    <font>
      <b/>
      <i/>
      <sz val="12"/>
      <color theme="1"/>
      <name val="Comic Relief"/>
    </font>
    <font>
      <sz val="12"/>
      <color rgb="FF434343"/>
      <name val="Comic Relief"/>
    </font>
    <font>
      <sz val="12"/>
      <color theme="1"/>
      <name val="Comic Relief"/>
    </font>
    <font>
      <sz val="10"/>
      <color theme="1"/>
      <name val="Arial"/>
    </font>
    <font>
      <i/>
      <sz val="11"/>
      <color rgb="FF000000"/>
      <name val="Comic Relief"/>
    </font>
    <font>
      <b/>
      <i/>
      <sz val="22"/>
      <color rgb="FF1F4E78"/>
      <name val="Times New Roman"/>
      <family val="1"/>
    </font>
    <font>
      <sz val="10"/>
      <color rgb="FF000000"/>
      <name val="Times New Roman"/>
      <family val="1"/>
    </font>
    <font>
      <b/>
      <i/>
      <sz val="11"/>
      <color rgb="FF373F6B"/>
      <name val="Times New Roman"/>
      <family val="1"/>
    </font>
    <font>
      <i/>
      <sz val="11"/>
      <color rgb="FF373F6B"/>
      <name val="Times New Roman"/>
      <family val="1"/>
    </font>
    <font>
      <i/>
      <sz val="11"/>
      <color rgb="FF000000"/>
      <name val="Times New Roman"/>
      <family val="1"/>
    </font>
    <font>
      <i/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sz val="10"/>
      <color rgb="FF434343"/>
      <name val="Times New Roman"/>
      <family val="1"/>
    </font>
    <font>
      <b/>
      <i/>
      <sz val="10"/>
      <color rgb="FF1F4E78"/>
      <name val="Times New Roman"/>
      <family val="1"/>
    </font>
    <font>
      <b/>
      <i/>
      <sz val="10"/>
      <color rgb="FF373F6B"/>
      <name val="Times New Roman"/>
      <family val="1"/>
    </font>
    <font>
      <i/>
      <sz val="10"/>
      <color rgb="FF373F6B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i/>
      <sz val="10"/>
      <color rgb="FFFFFFFF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rgb="FF434343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734B"/>
      </patternFill>
    </fill>
    <fill>
      <patternFill patternType="solid">
        <fgColor rgb="FFB10202"/>
      </patternFill>
    </fill>
    <fill>
      <patternFill patternType="solid">
        <fgColor rgb="FF5A3286"/>
      </patternFill>
    </fill>
    <fill>
      <patternFill patternType="solid">
        <fgColor rgb="FF666666"/>
      </patternFill>
    </fill>
    <fill>
      <patternFill patternType="solid">
        <fgColor rgb="FF0A53A8"/>
      </patternFill>
    </fill>
    <fill>
      <patternFill patternType="solid">
        <fgColor rgb="FF073763"/>
      </patternFill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11734B"/>
      </patternFill>
    </fill>
    <fill>
      <patternFill patternType="solid">
        <fgColor rgb="FFB10202"/>
      </patternFill>
    </fill>
    <fill>
      <patternFill patternType="solid">
        <fgColor rgb="FF5A3286"/>
      </patternFill>
    </fill>
    <fill>
      <patternFill patternType="solid">
        <fgColor rgb="FF666666"/>
      </patternFill>
    </fill>
    <fill>
      <patternFill patternType="solid">
        <fgColor rgb="FF373F6B"/>
      </patternFill>
    </fill>
  </fills>
  <borders count="2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73B5A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173B5A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12" fillId="2" borderId="0" xfId="0" applyFont="1" applyFill="1" applyAlignment="1">
      <alignment vertical="center" wrapText="1"/>
    </xf>
    <xf numFmtId="0" fontId="11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5" fillId="11" borderId="2" xfId="0" applyNumberFormat="1" applyFont="1" applyFill="1" applyBorder="1" applyAlignment="1">
      <alignment horizontal="center" vertical="center" wrapText="1"/>
    </xf>
    <xf numFmtId="0" fontId="5" fillId="12" borderId="2" xfId="0" applyNumberFormat="1" applyFont="1" applyFill="1" applyBorder="1" applyAlignment="1">
      <alignment horizontal="center" vertical="center" wrapText="1"/>
    </xf>
    <xf numFmtId="0" fontId="5" fillId="13" borderId="2" xfId="0" applyNumberFormat="1" applyFont="1" applyFill="1" applyBorder="1" applyAlignment="1">
      <alignment horizontal="center" vertical="center" wrapText="1"/>
    </xf>
    <xf numFmtId="0" fontId="5" fillId="14" borderId="2" xfId="0" applyNumberFormat="1" applyFont="1" applyFill="1" applyBorder="1" applyAlignment="1">
      <alignment horizontal="center" vertical="center" wrapText="1"/>
    </xf>
    <xf numFmtId="0" fontId="5" fillId="15" borderId="2" xfId="0" applyNumberFormat="1" applyFont="1" applyFill="1" applyBorder="1" applyAlignment="1">
      <alignment horizontal="center" vertical="center" wrapText="1"/>
    </xf>
    <xf numFmtId="0" fontId="14" fillId="10" borderId="11" xfId="0" applyNumberFormat="1" applyFont="1" applyFill="1" applyBorder="1" applyAlignment="1">
      <alignment horizontal="center" vertical="center" wrapText="1"/>
    </xf>
    <xf numFmtId="0" fontId="14" fillId="10" borderId="12" xfId="0" applyNumberFormat="1" applyFont="1" applyFill="1" applyBorder="1" applyAlignment="1">
      <alignment horizontal="center" vertical="center" wrapText="1"/>
    </xf>
    <xf numFmtId="0" fontId="14" fillId="10" borderId="13" xfId="0" applyNumberFormat="1" applyFont="1" applyFill="1" applyBorder="1" applyAlignment="1">
      <alignment horizontal="center" vertical="center" wrapText="1"/>
    </xf>
    <xf numFmtId="0" fontId="14" fillId="10" borderId="20" xfId="0" applyNumberFormat="1" applyFont="1" applyFill="1" applyBorder="1" applyAlignment="1">
      <alignment horizontal="center" vertical="center" wrapText="1"/>
    </xf>
    <xf numFmtId="0" fontId="14" fillId="10" borderId="21" xfId="0" applyNumberFormat="1" applyFont="1" applyFill="1" applyBorder="1" applyAlignment="1">
      <alignment horizontal="center" vertical="center" wrapText="1"/>
    </xf>
    <xf numFmtId="0" fontId="14" fillId="10" borderId="2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14" fillId="10" borderId="0" xfId="0" applyNumberFormat="1" applyFont="1" applyFill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1" fillId="1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10" borderId="0" xfId="0" applyNumberFormat="1" applyFont="1" applyFill="1" applyBorder="1" applyAlignment="1">
      <alignment horizontal="left" vertical="center" wrapText="1"/>
    </xf>
    <xf numFmtId="0" fontId="4" fillId="10" borderId="0" xfId="0" applyNumberFormat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7" fillId="2" borderId="0" xfId="0" applyFont="1" applyFill="1" applyAlignment="1">
      <alignment vertical="center"/>
    </xf>
    <xf numFmtId="0" fontId="7" fillId="0" borderId="3" xfId="0" applyFont="1" applyBorder="1" applyAlignment="1">
      <alignment vertical="center"/>
    </xf>
    <xf numFmtId="0" fontId="15" fillId="10" borderId="0" xfId="0" applyNumberFormat="1" applyFont="1" applyFill="1" applyBorder="1" applyAlignment="1">
      <alignment horizontal="center" vertical="center" wrapText="1"/>
    </xf>
    <xf numFmtId="0" fontId="16" fillId="0" borderId="0" xfId="0" applyFont="1" applyAlignment="1"/>
    <xf numFmtId="0" fontId="16" fillId="0" borderId="0" xfId="0" applyFont="1" applyAlignment="1"/>
    <xf numFmtId="0" fontId="17" fillId="10" borderId="0" xfId="0" applyNumberFormat="1" applyFont="1" applyFill="1" applyBorder="1" applyAlignment="1">
      <alignment horizontal="left" vertical="center" wrapText="1"/>
    </xf>
    <xf numFmtId="0" fontId="18" fillId="10" borderId="0" xfId="0" applyNumberFormat="1" applyFont="1" applyFill="1" applyBorder="1" applyAlignment="1">
      <alignment horizontal="left" vertical="center" wrapText="1"/>
    </xf>
    <xf numFmtId="0" fontId="19" fillId="10" borderId="0" xfId="0" applyNumberFormat="1" applyFont="1" applyFill="1" applyBorder="1" applyAlignment="1">
      <alignment horizontal="left" vertical="center" wrapText="1"/>
    </xf>
    <xf numFmtId="0" fontId="20" fillId="11" borderId="2" xfId="0" applyNumberFormat="1" applyFont="1" applyFill="1" applyBorder="1" applyAlignment="1">
      <alignment horizontal="center" vertical="center" wrapText="1"/>
    </xf>
    <xf numFmtId="0" fontId="20" fillId="12" borderId="2" xfId="0" applyNumberFormat="1" applyFont="1" applyFill="1" applyBorder="1" applyAlignment="1">
      <alignment horizontal="center" vertical="center" wrapText="1"/>
    </xf>
    <xf numFmtId="0" fontId="20" fillId="13" borderId="2" xfId="0" applyNumberFormat="1" applyFont="1" applyFill="1" applyBorder="1" applyAlignment="1">
      <alignment horizontal="center" vertical="center" wrapText="1"/>
    </xf>
    <xf numFmtId="0" fontId="20" fillId="14" borderId="2" xfId="0" applyNumberFormat="1" applyFont="1" applyFill="1" applyBorder="1" applyAlignment="1">
      <alignment horizontal="center" vertical="center" wrapText="1"/>
    </xf>
    <xf numFmtId="0" fontId="20" fillId="15" borderId="2" xfId="0" applyNumberFormat="1" applyFont="1" applyFill="1" applyBorder="1" applyAlignment="1">
      <alignment horizontal="center" vertical="center" wrapText="1"/>
    </xf>
    <xf numFmtId="0" fontId="19" fillId="10" borderId="11" xfId="0" applyNumberFormat="1" applyFont="1" applyFill="1" applyBorder="1" applyAlignment="1">
      <alignment horizontal="center" vertical="center" wrapText="1"/>
    </xf>
    <xf numFmtId="0" fontId="19" fillId="10" borderId="12" xfId="0" applyNumberFormat="1" applyFont="1" applyFill="1" applyBorder="1" applyAlignment="1">
      <alignment horizontal="center" vertical="center" wrapText="1"/>
    </xf>
    <xf numFmtId="0" fontId="19" fillId="10" borderId="13" xfId="0" applyNumberFormat="1" applyFont="1" applyFill="1" applyBorder="1" applyAlignment="1">
      <alignment horizontal="center" vertical="center" wrapText="1"/>
    </xf>
    <xf numFmtId="0" fontId="19" fillId="10" borderId="20" xfId="0" applyNumberFormat="1" applyFont="1" applyFill="1" applyBorder="1" applyAlignment="1">
      <alignment horizontal="center" vertical="center" wrapText="1"/>
    </xf>
    <xf numFmtId="0" fontId="19" fillId="10" borderId="21" xfId="0" applyNumberFormat="1" applyFont="1" applyFill="1" applyBorder="1" applyAlignment="1">
      <alignment horizontal="center" vertical="center" wrapText="1"/>
    </xf>
    <xf numFmtId="0" fontId="19" fillId="10" borderId="22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wrapText="1"/>
    </xf>
    <xf numFmtId="0" fontId="16" fillId="0" borderId="0" xfId="0" applyNumberFormat="1" applyFont="1" applyFill="1" applyBorder="1" applyAlignment="1">
      <alignment horizontal="center" vertical="top" wrapText="1"/>
    </xf>
    <xf numFmtId="0" fontId="16" fillId="0" borderId="0" xfId="0" applyNumberFormat="1" applyFont="1" applyFill="1" applyBorder="1" applyAlignment="1">
      <alignment vertical="top" wrapText="1"/>
    </xf>
    <xf numFmtId="0" fontId="16" fillId="0" borderId="0" xfId="0" applyFont="1" applyAlignment="1">
      <alignment wrapText="1"/>
    </xf>
    <xf numFmtId="0" fontId="21" fillId="0" borderId="0" xfId="0" applyNumberFormat="1" applyFont="1" applyFill="1" applyBorder="1" applyAlignment="1">
      <alignment horizontal="center" vertical="top" wrapText="1"/>
    </xf>
    <xf numFmtId="0" fontId="21" fillId="0" borderId="0" xfId="0" applyNumberFormat="1" applyFont="1" applyFill="1" applyBorder="1" applyAlignment="1">
      <alignment vertical="top" wrapText="1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0" fontId="24" fillId="0" borderId="4" xfId="0" applyFont="1" applyBorder="1"/>
    <xf numFmtId="0" fontId="24" fillId="0" borderId="5" xfId="0" applyFont="1" applyBorder="1"/>
    <xf numFmtId="0" fontId="25" fillId="2" borderId="2" xfId="0" applyNumberFormat="1" applyFont="1" applyFill="1" applyBorder="1" applyAlignment="1">
      <alignment vertical="top" wrapText="1"/>
    </xf>
    <xf numFmtId="0" fontId="22" fillId="2" borderId="2" xfId="0" applyNumberFormat="1" applyFont="1" applyFill="1" applyBorder="1" applyAlignment="1">
      <alignment vertical="top" wrapText="1"/>
    </xf>
    <xf numFmtId="0" fontId="22" fillId="0" borderId="2" xfId="0" applyNumberFormat="1" applyFont="1" applyFill="1" applyBorder="1" applyAlignment="1">
      <alignment horizontal="center" vertical="top" wrapText="1"/>
    </xf>
    <xf numFmtId="0" fontId="22" fillId="2" borderId="7" xfId="0" applyNumberFormat="1" applyFont="1" applyFill="1" applyBorder="1" applyAlignment="1">
      <alignment vertical="top" wrapText="1"/>
    </xf>
    <xf numFmtId="0" fontId="25" fillId="2" borderId="0" xfId="0" applyNumberFormat="1" applyFont="1" applyFill="1" applyBorder="1" applyAlignment="1">
      <alignment vertical="top" wrapText="1"/>
    </xf>
    <xf numFmtId="0" fontId="22" fillId="2" borderId="0" xfId="0" applyNumberFormat="1" applyFont="1" applyFill="1" applyBorder="1" applyAlignment="1">
      <alignment vertical="top" wrapText="1"/>
    </xf>
    <xf numFmtId="0" fontId="22" fillId="0" borderId="0" xfId="0" applyNumberFormat="1" applyFont="1" applyFill="1" applyBorder="1" applyAlignment="1">
      <alignment horizontal="center" vertical="top" wrapText="1"/>
    </xf>
    <xf numFmtId="0" fontId="23" fillId="0" borderId="0" xfId="0" applyNumberFormat="1" applyFont="1" applyFill="1" applyBorder="1" applyAlignment="1">
      <alignment horizontal="center" vertical="top" wrapText="1"/>
    </xf>
    <xf numFmtId="0" fontId="22" fillId="0" borderId="0" xfId="0" applyNumberFormat="1" applyFont="1" applyFill="1" applyBorder="1" applyAlignment="1">
      <alignment vertical="top" wrapText="1"/>
    </xf>
    <xf numFmtId="0" fontId="26" fillId="10" borderId="0" xfId="0" applyNumberFormat="1" applyFont="1" applyFill="1" applyBorder="1" applyAlignment="1">
      <alignment horizontal="center" vertical="center" wrapText="1"/>
    </xf>
    <xf numFmtId="0" fontId="26" fillId="10" borderId="1" xfId="0" applyNumberFormat="1" applyFont="1" applyFill="1" applyBorder="1" applyAlignment="1">
      <alignment horizontal="center" vertical="center" wrapText="1"/>
    </xf>
    <xf numFmtId="0" fontId="27" fillId="10" borderId="0" xfId="0" applyNumberFormat="1" applyFont="1" applyFill="1" applyBorder="1" applyAlignment="1">
      <alignment horizontal="left" vertical="center" wrapText="1"/>
    </xf>
    <xf numFmtId="0" fontId="28" fillId="10" borderId="0" xfId="0" applyNumberFormat="1" applyFont="1" applyFill="1" applyBorder="1" applyAlignment="1">
      <alignment horizontal="left" vertical="center" wrapText="1"/>
    </xf>
    <xf numFmtId="0" fontId="29" fillId="10" borderId="0" xfId="0" applyNumberFormat="1" applyFont="1" applyFill="1" applyBorder="1" applyAlignment="1">
      <alignment horizontal="left" vertical="center" wrapText="1"/>
    </xf>
    <xf numFmtId="0" fontId="30" fillId="10" borderId="0" xfId="0" applyNumberFormat="1" applyFont="1" applyFill="1" applyBorder="1" applyAlignment="1">
      <alignment horizontal="left" vertical="center" wrapText="1"/>
    </xf>
    <xf numFmtId="0" fontId="31" fillId="11" borderId="2" xfId="0" applyNumberFormat="1" applyFont="1" applyFill="1" applyBorder="1" applyAlignment="1">
      <alignment horizontal="center" vertical="center" wrapText="1"/>
    </xf>
    <xf numFmtId="0" fontId="31" fillId="12" borderId="2" xfId="0" applyNumberFormat="1" applyFont="1" applyFill="1" applyBorder="1" applyAlignment="1">
      <alignment horizontal="center" vertical="center" wrapText="1"/>
    </xf>
    <xf numFmtId="0" fontId="31" fillId="13" borderId="2" xfId="0" applyNumberFormat="1" applyFont="1" applyFill="1" applyBorder="1" applyAlignment="1">
      <alignment horizontal="center" vertical="center" wrapText="1"/>
    </xf>
    <xf numFmtId="0" fontId="31" fillId="14" borderId="2" xfId="0" applyNumberFormat="1" applyFont="1" applyFill="1" applyBorder="1" applyAlignment="1">
      <alignment horizontal="center" vertical="center" wrapText="1"/>
    </xf>
    <xf numFmtId="0" fontId="31" fillId="15" borderId="2" xfId="0" applyNumberFormat="1" applyFont="1" applyFill="1" applyBorder="1" applyAlignment="1">
      <alignment horizontal="center" vertical="center" wrapText="1"/>
    </xf>
    <xf numFmtId="0" fontId="29" fillId="10" borderId="2" xfId="0" applyNumberFormat="1" applyFont="1" applyFill="1" applyBorder="1" applyAlignment="1">
      <alignment horizontal="center" vertical="center" wrapText="1"/>
    </xf>
    <xf numFmtId="0" fontId="32" fillId="0" borderId="0" xfId="0" applyNumberFormat="1" applyFont="1" applyFill="1" applyBorder="1" applyAlignment="1">
      <alignment horizontal="center" vertical="center" wrapText="1"/>
    </xf>
    <xf numFmtId="0" fontId="33" fillId="2" borderId="6" xfId="0" applyNumberFormat="1" applyFont="1" applyFill="1" applyBorder="1" applyAlignment="1">
      <alignment horizontal="center" vertical="top" wrapText="1"/>
    </xf>
    <xf numFmtId="0" fontId="33" fillId="2" borderId="0" xfId="0" applyNumberFormat="1" applyFont="1" applyFill="1" applyBorder="1" applyAlignment="1">
      <alignment horizontal="center" vertical="top" wrapText="1"/>
    </xf>
    <xf numFmtId="0" fontId="0" fillId="10" borderId="22" xfId="0" applyNumberFormat="1" applyFont="1" applyFill="1" applyBorder="1" applyAlignment="1">
      <alignment horizontal="center" vertical="center" wrapText="1"/>
    </xf>
    <xf numFmtId="0" fontId="0" fillId="10" borderId="21" xfId="0" applyNumberFormat="1" applyFont="1" applyFill="1" applyBorder="1" applyAlignment="1">
      <alignment horizontal="center" vertical="center" wrapText="1"/>
    </xf>
    <xf numFmtId="0" fontId="0" fillId="10" borderId="20" xfId="0" applyNumberFormat="1" applyFont="1" applyFill="1" applyBorder="1" applyAlignment="1">
      <alignment horizontal="center" vertical="center" wrapText="1"/>
    </xf>
    <xf numFmtId="0" fontId="0" fillId="10" borderId="13" xfId="0" applyNumberFormat="1" applyFont="1" applyFill="1" applyBorder="1" applyAlignment="1">
      <alignment horizontal="center" vertical="center" wrapText="1"/>
    </xf>
    <xf numFmtId="0" fontId="0" fillId="10" borderId="12" xfId="0" applyNumberFormat="1" applyFont="1" applyFill="1" applyBorder="1" applyAlignment="1">
      <alignment horizontal="center" vertical="center" wrapText="1"/>
    </xf>
    <xf numFmtId="0" fontId="0" fillId="10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2"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C_AUTH_PROFILE" displayName="TC_AUTH_PROFILE" ref="A9:K57" headerRowDxfId="56" dataDxfId="54" totalsRowDxfId="55">
  <tableColumns count="11">
    <tableColumn id="1" xr3:uid="{00000000-0010-0000-0000-000001000000}" name="ID" dataDxfId="67"/>
    <tableColumn id="2" xr3:uid="{00000000-0010-0000-0000-000002000000}" name="Group Name" dataDxfId="66"/>
    <tableColumn id="3" xr3:uid="{00000000-0010-0000-0000-000003000000}" name="Sub group" dataDxfId="65"/>
    <tableColumn id="4" xr3:uid="{00000000-0010-0000-0000-000004000000}" name="Test Case Description" dataDxfId="64"/>
    <tableColumn id="5" xr3:uid="{00000000-0010-0000-0000-000005000000}" name="Precondition" dataDxfId="63"/>
    <tableColumn id="6" xr3:uid="{00000000-0010-0000-0000-000006000000}" name="Test Case Procedure" dataDxfId="62"/>
    <tableColumn id="7" xr3:uid="{00000000-0010-0000-0000-000007000000}" name="Test data" dataDxfId="61"/>
    <tableColumn id="8" xr3:uid="{00000000-0010-0000-0000-000008000000}" name="Expected Output" dataDxfId="60"/>
    <tableColumn id="9" xr3:uid="{00000000-0010-0000-0000-000009000000}" name="Desktop " dataDxfId="59"/>
    <tableColumn id="10" xr3:uid="{00000000-0010-0000-0000-00000A000000}" name="Mobile" dataDxfId="58"/>
    <tableColumn id="11" xr3:uid="{00000000-0010-0000-0000-00000B000000}" name="Note" dataDxfId="57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C_DASH_03" displayName="TC_DASH_03" ref="A9:K17" headerRowDxfId="16" dataDxfId="14" totalsRowDxfId="15">
  <tableColumns count="11">
    <tableColumn id="1" xr3:uid="{00000000-0010-0000-0300-000001000000}" name="ID" dataDxfId="27"/>
    <tableColumn id="2" xr3:uid="{00000000-0010-0000-0300-000002000000}" name="Group Name" dataDxfId="26"/>
    <tableColumn id="3" xr3:uid="{00000000-0010-0000-0300-000003000000}" name="Sub group" dataDxfId="25"/>
    <tableColumn id="4" xr3:uid="{00000000-0010-0000-0300-000004000000}" name="Test Case Description" dataDxfId="24"/>
    <tableColumn id="5" xr3:uid="{00000000-0010-0000-0300-000005000000}" name="Precondition" dataDxfId="23"/>
    <tableColumn id="6" xr3:uid="{00000000-0010-0000-0300-000006000000}" name="Test Case Procedure" dataDxfId="22"/>
    <tableColumn id="7" xr3:uid="{00000000-0010-0000-0300-000007000000}" name="Test data" dataDxfId="21"/>
    <tableColumn id="8" xr3:uid="{00000000-0010-0000-0300-000008000000}" name="Expected Output" dataDxfId="20"/>
    <tableColumn id="9" xr3:uid="{00000000-0010-0000-0300-000009000000}" name="Desktop " dataDxfId="19"/>
    <tableColumn id="10" xr3:uid="{00000000-0010-0000-0300-00000A000000}" name="Mobile" dataDxfId="18"/>
    <tableColumn id="11" xr3:uid="{00000000-0010-0000-0300-00000B000000}" name="Note" dataDxfId="17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C_RECIPE_05" displayName="TC_RECIPE_05" ref="A9:K46" dataDxfId="42">
  <tableColumns count="11">
    <tableColumn id="1" xr3:uid="{00000000-0010-0000-0500-000001000000}" name="ID" dataDxfId="53"/>
    <tableColumn id="2" xr3:uid="{00000000-0010-0000-0500-000002000000}" name="Group Name" dataDxfId="52"/>
    <tableColumn id="3" xr3:uid="{00000000-0010-0000-0500-000003000000}" name="Sub group" dataDxfId="51"/>
    <tableColumn id="4" xr3:uid="{00000000-0010-0000-0500-000004000000}" name="Test Case Description" dataDxfId="50"/>
    <tableColumn id="5" xr3:uid="{00000000-0010-0000-0500-000005000000}" name="Precondition" dataDxfId="49"/>
    <tableColumn id="6" xr3:uid="{00000000-0010-0000-0500-000006000000}" name="Test Case Procedure" dataDxfId="48"/>
    <tableColumn id="7" xr3:uid="{00000000-0010-0000-0500-000007000000}" name="Test data" dataDxfId="47"/>
    <tableColumn id="8" xr3:uid="{00000000-0010-0000-0500-000008000000}" name="Expected Output" dataDxfId="46"/>
    <tableColumn id="9" xr3:uid="{00000000-0010-0000-0500-000009000000}" name="Desktop " dataDxfId="45"/>
    <tableColumn id="10" xr3:uid="{00000000-0010-0000-0500-00000A000000}" name="Mobile" dataDxfId="44"/>
    <tableColumn id="11" xr3:uid="{00000000-0010-0000-0500-00000B000000}" name="Note" dataDxfId="43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C_ING_06" displayName="TC_ING_06" ref="A9:K26">
  <tableColumns count="11">
    <tableColumn id="1" xr3:uid="{00000000-0010-0000-0600-000001000000}" name="ID"/>
    <tableColumn id="2" xr3:uid="{00000000-0010-0000-0600-000002000000}" name="Group Name"/>
    <tableColumn id="3" xr3:uid="{00000000-0010-0000-0600-000003000000}" name="Sub group"/>
    <tableColumn id="4" xr3:uid="{00000000-0010-0000-0600-000004000000}" name="Test Case Description"/>
    <tableColumn id="5" xr3:uid="{00000000-0010-0000-0600-000005000000}" name="Precondition"/>
    <tableColumn id="6" xr3:uid="{00000000-0010-0000-0600-000006000000}" name="Test Case Procedure"/>
    <tableColumn id="7" xr3:uid="{00000000-0010-0000-0600-000007000000}" name="Test data"/>
    <tableColumn id="8" xr3:uid="{00000000-0010-0000-0600-000008000000}" name="Expected Output"/>
    <tableColumn id="9" xr3:uid="{00000000-0010-0000-0600-000009000000}" name="Desktop "/>
    <tableColumn id="10" xr3:uid="{00000000-0010-0000-0600-00000A000000}" name="Mobile"/>
    <tableColumn id="11" xr3:uid="{00000000-0010-0000-0600-00000B000000}" name="Note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C_SESSION_08" displayName="TC_SESSION_08" ref="A9:K26">
  <tableColumns count="11">
    <tableColumn id="1" xr3:uid="{00000000-0010-0000-0800-000001000000}" name="ID"/>
    <tableColumn id="2" xr3:uid="{00000000-0010-0000-0800-000002000000}" name="Group Name"/>
    <tableColumn id="3" xr3:uid="{00000000-0010-0000-0800-000003000000}" name="Sub group"/>
    <tableColumn id="4" xr3:uid="{00000000-0010-0000-0800-000004000000}" name="Test Case Description"/>
    <tableColumn id="5" xr3:uid="{00000000-0010-0000-0800-000005000000}" name="Precondition"/>
    <tableColumn id="6" xr3:uid="{00000000-0010-0000-0800-000006000000}" name="Test Case Procedure"/>
    <tableColumn id="7" xr3:uid="{00000000-0010-0000-0800-000007000000}" name="Test data"/>
    <tableColumn id="8" xr3:uid="{00000000-0010-0000-0800-000008000000}" name="Expected Output"/>
    <tableColumn id="9" xr3:uid="{00000000-0010-0000-0800-000009000000}" name="Desktop "/>
    <tableColumn id="10" xr3:uid="{00000000-0010-0000-0800-00000A000000}" name="Mobile"/>
    <tableColumn id="11" xr3:uid="{00000000-0010-0000-0800-00000B000000}" name="Note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C_KDS_11" displayName="TC_KDS_11" ref="A9:K21" headerRowDxfId="30" dataDxfId="28" totalsRowDxfId="29">
  <tableColumns count="11">
    <tableColumn id="1" xr3:uid="{00000000-0010-0000-0B00-000001000000}" name="ID" dataDxfId="41"/>
    <tableColumn id="2" xr3:uid="{00000000-0010-0000-0B00-000002000000}" name="Group Name" dataDxfId="40"/>
    <tableColumn id="3" xr3:uid="{00000000-0010-0000-0B00-000003000000}" name="Sub group" dataDxfId="39"/>
    <tableColumn id="4" xr3:uid="{00000000-0010-0000-0B00-000004000000}" name="Test Case Description" dataDxfId="38"/>
    <tableColumn id="5" xr3:uid="{00000000-0010-0000-0B00-000005000000}" name="Precondition" dataDxfId="37"/>
    <tableColumn id="6" xr3:uid="{00000000-0010-0000-0B00-000006000000}" name="Test Case Procedure" dataDxfId="36"/>
    <tableColumn id="7" xr3:uid="{00000000-0010-0000-0B00-000007000000}" name="Test data" dataDxfId="35"/>
    <tableColumn id="8" xr3:uid="{00000000-0010-0000-0B00-000008000000}" name="Expected Output" dataDxfId="34"/>
    <tableColumn id="9" xr3:uid="{00000000-0010-0000-0B00-000009000000}" name="Desktop " dataDxfId="33"/>
    <tableColumn id="10" xr3:uid="{00000000-0010-0000-0B00-00000A000000}" name="Mobile" dataDxfId="32"/>
    <tableColumn id="11" xr3:uid="{00000000-0010-0000-0B00-00000B000000}" name="Note" dataDxfId="31"/>
  </tableColumns>
  <tableStyleInfo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C_HR_AVL_15" displayName="TC_HR_AVL_15" ref="A9:K19" dataDxfId="68">
  <tableColumns count="11">
    <tableColumn id="1" xr3:uid="{00000000-0010-0000-0F00-000001000000}" name="ID" dataDxfId="79"/>
    <tableColumn id="2" xr3:uid="{00000000-0010-0000-0F00-000002000000}" name="Group Name" dataDxfId="78"/>
    <tableColumn id="3" xr3:uid="{00000000-0010-0000-0F00-000003000000}" name="Sub group" dataDxfId="77"/>
    <tableColumn id="4" xr3:uid="{00000000-0010-0000-0F00-000004000000}" name="Test Case Description" dataDxfId="76"/>
    <tableColumn id="5" xr3:uid="{00000000-0010-0000-0F00-000005000000}" name="Precondition" dataDxfId="75"/>
    <tableColumn id="6" xr3:uid="{00000000-0010-0000-0F00-000006000000}" name="Test Case Procedure" dataDxfId="74"/>
    <tableColumn id="7" xr3:uid="{00000000-0010-0000-0F00-000007000000}" name="Test data" dataDxfId="73"/>
    <tableColumn id="8" xr3:uid="{00000000-0010-0000-0F00-000008000000}" name="Expected Output" dataDxfId="72"/>
    <tableColumn id="9" xr3:uid="{00000000-0010-0000-0F00-000009000000}" name="Desktop " dataDxfId="71"/>
    <tableColumn id="10" xr3:uid="{00000000-0010-0000-0F00-00000A000000}" name="Mobile" dataDxfId="70"/>
    <tableColumn id="11" xr3:uid="{00000000-0010-0000-0F00-00000B000000}" name="Note" dataDxfId="69"/>
  </tableColumns>
  <tableStyleInfo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C_ATT_18" displayName="TC_ATT_18" ref="A9:K29" dataDxfId="80">
  <tableColumns count="11">
    <tableColumn id="1" xr3:uid="{00000000-0010-0000-1200-000001000000}" name="ID" dataDxfId="91"/>
    <tableColumn id="2" xr3:uid="{00000000-0010-0000-1200-000002000000}" name="Group Name" dataDxfId="90"/>
    <tableColumn id="3" xr3:uid="{00000000-0010-0000-1200-000003000000}" name="Sub group" dataDxfId="89"/>
    <tableColumn id="4" xr3:uid="{00000000-0010-0000-1200-000004000000}" name="Test Case Description" dataDxfId="88"/>
    <tableColumn id="5" xr3:uid="{00000000-0010-0000-1200-000005000000}" name="Precondition" dataDxfId="87"/>
    <tableColumn id="6" xr3:uid="{00000000-0010-0000-1200-000006000000}" name="Test Case Procedure" dataDxfId="86"/>
    <tableColumn id="7" xr3:uid="{00000000-0010-0000-1200-000007000000}" name="Test data" dataDxfId="85"/>
    <tableColumn id="8" xr3:uid="{00000000-0010-0000-1200-000008000000}" name="Expected Output" dataDxfId="84"/>
    <tableColumn id="9" xr3:uid="{00000000-0010-0000-1200-000009000000}" name="Desktop " dataDxfId="83"/>
    <tableColumn id="10" xr3:uid="{00000000-0010-0000-1200-00000A000000}" name="Mobile" dataDxfId="82"/>
    <tableColumn id="11" xr3:uid="{00000000-0010-0000-1200-00000B000000}" name="Note" dataDxfId="81"/>
  </tableColumns>
  <tableStyleInfo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TC_USER_20" displayName="TC_USER_20" ref="A9:K26" headerRowDxfId="2" dataDxfId="0" totalsRowDxfId="1">
  <tableColumns count="11">
    <tableColumn id="1" xr3:uid="{00000000-0010-0000-1400-000001000000}" name="ID" dataDxfId="13"/>
    <tableColumn id="2" xr3:uid="{00000000-0010-0000-1400-000002000000}" name="Group Name" dataDxfId="12"/>
    <tableColumn id="3" xr3:uid="{00000000-0010-0000-1400-000003000000}" name="Sub group" dataDxfId="11"/>
    <tableColumn id="4" xr3:uid="{00000000-0010-0000-1400-000004000000}" name="Test Case Description" dataDxfId="10"/>
    <tableColumn id="5" xr3:uid="{00000000-0010-0000-1400-000005000000}" name="Precondition" dataDxfId="9"/>
    <tableColumn id="6" xr3:uid="{00000000-0010-0000-1400-000006000000}" name="Test Case Procedure" dataDxfId="8"/>
    <tableColumn id="7" xr3:uid="{00000000-0010-0000-1400-000007000000}" name="Test data" dataDxfId="7"/>
    <tableColumn id="8" xr3:uid="{00000000-0010-0000-1400-000008000000}" name="Expected Output" dataDxfId="6"/>
    <tableColumn id="9" xr3:uid="{00000000-0010-0000-1400-000009000000}" name="Desktop " dataDxfId="5"/>
    <tableColumn id="10" xr3:uid="{00000000-0010-0000-1400-00000A000000}" name="Mobile" dataDxfId="4"/>
    <tableColumn id="11" xr3:uid="{00000000-0010-0000-1400-00000B000000}" name="Note" dataDxfId="3"/>
  </tableColumns>
  <tableStyleInfo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L8">
  <tableColumns count="12">
    <tableColumn id="1" xr3:uid="{00000000-0010-0000-0100-000001000000}" name="No"/>
    <tableColumn id="2" xr3:uid="{00000000-0010-0000-0100-000002000000}" name="BugID"/>
    <tableColumn id="3" xr3:uid="{00000000-0010-0000-0100-000003000000}" name="Title"/>
    <tableColumn id="4" xr3:uid="{00000000-0010-0000-0100-000004000000}" name="Preconditions"/>
    <tableColumn id="5" xr3:uid="{00000000-0010-0000-0100-000005000000}" name="Steps"/>
    <tableColumn id="6" xr3:uid="{00000000-0010-0000-0100-000006000000}" name="Data"/>
    <tableColumn id="7" xr3:uid="{00000000-0010-0000-0100-000007000000}" name="Expected result"/>
    <tableColumn id="8" xr3:uid="{00000000-0010-0000-0100-000008000000}" name="Actual result"/>
    <tableColumn id="9" xr3:uid="{00000000-0010-0000-0100-000009000000}" name="Environment"/>
    <tableColumn id="10" xr3:uid="{00000000-0010-0000-0100-00000A000000}" name="Priority "/>
    <tableColumn id="11" xr3:uid="{00000000-0010-0000-0100-00000B000000}" name="Note "/>
    <tableColumn id="12" xr3:uid="{00000000-0010-0000-0100-00000C000000}" name="Status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zoomScale="64" workbookViewId="0">
      <selection activeCell="E59" sqref="E59"/>
    </sheetView>
  </sheetViews>
  <sheetFormatPr defaultColWidth="12.6328125" defaultRowHeight="13"/>
  <cols>
    <col min="1" max="1" width="14" style="52" customWidth="1"/>
    <col min="2" max="2" width="29.6328125" style="52" customWidth="1"/>
    <col min="3" max="3" width="22.7265625" style="52" customWidth="1"/>
    <col min="4" max="4" width="38" style="52" customWidth="1"/>
    <col min="5" max="5" width="34" style="52" customWidth="1"/>
    <col min="6" max="6" width="44" style="52" customWidth="1"/>
    <col min="7" max="7" width="30" style="52" customWidth="1"/>
    <col min="8" max="8" width="42" style="52" customWidth="1"/>
    <col min="9" max="10" width="17.36328125" style="52" customWidth="1"/>
    <col min="11" max="11" width="31" style="52" customWidth="1"/>
    <col min="12" max="13" width="12.6328125" style="52"/>
    <col min="14" max="14" width="16.90625" style="52" customWidth="1"/>
    <col min="15" max="16384" width="12.6328125" style="52"/>
  </cols>
  <sheetData>
    <row r="1" spans="1:27" ht="13.5">
      <c r="A1" s="90" t="s">
        <v>20</v>
      </c>
      <c r="B1" s="90"/>
      <c r="C1" s="90"/>
      <c r="D1" s="90"/>
      <c r="E1" s="91"/>
      <c r="F1" s="73"/>
      <c r="G1" s="51"/>
      <c r="H1" s="51"/>
      <c r="I1" s="51"/>
      <c r="J1" s="51"/>
      <c r="K1" s="51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</row>
    <row r="2" spans="1:27" ht="13.5">
      <c r="A2" s="92" t="s">
        <v>21</v>
      </c>
      <c r="B2" s="92"/>
      <c r="C2" s="93" t="s">
        <v>22</v>
      </c>
      <c r="D2" s="93"/>
      <c r="E2" s="93"/>
      <c r="F2" s="51"/>
      <c r="G2" s="51"/>
      <c r="H2" s="51"/>
      <c r="I2" s="51"/>
      <c r="J2" s="51"/>
      <c r="K2" s="51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</row>
    <row r="3" spans="1:27" ht="13.5">
      <c r="A3" s="92" t="s">
        <v>23</v>
      </c>
      <c r="B3" s="92"/>
      <c r="C3" s="94" t="s">
        <v>24</v>
      </c>
      <c r="D3" s="94"/>
      <c r="E3" s="94"/>
      <c r="F3" s="51"/>
      <c r="G3" s="51"/>
      <c r="H3" s="51"/>
      <c r="I3" s="51"/>
      <c r="J3" s="51"/>
      <c r="K3" s="51"/>
      <c r="L3" s="74"/>
      <c r="M3" s="74"/>
      <c r="N3" s="74"/>
      <c r="O3" s="74"/>
      <c r="P3" s="75"/>
      <c r="Q3" s="75"/>
      <c r="R3" s="75"/>
      <c r="S3" s="74"/>
      <c r="T3" s="74"/>
      <c r="U3" s="74"/>
      <c r="V3" s="74"/>
      <c r="W3" s="74"/>
      <c r="X3" s="74"/>
      <c r="Y3" s="74"/>
      <c r="Z3" s="74"/>
      <c r="AA3" s="75"/>
    </row>
    <row r="4" spans="1:27" ht="13.5">
      <c r="A4" s="92" t="s">
        <v>25</v>
      </c>
      <c r="B4" s="92"/>
      <c r="C4" s="95"/>
      <c r="D4" s="94"/>
      <c r="E4" s="94"/>
      <c r="F4" s="51"/>
      <c r="G4" s="51"/>
      <c r="H4" s="51"/>
      <c r="I4" s="51"/>
      <c r="J4" s="51"/>
      <c r="K4" s="51"/>
      <c r="L4" s="74"/>
      <c r="M4" s="74"/>
      <c r="N4" s="74"/>
      <c r="O4" s="74"/>
      <c r="P4" s="75"/>
      <c r="Q4" s="75"/>
      <c r="R4" s="75"/>
      <c r="S4" s="74"/>
      <c r="T4" s="74"/>
      <c r="U4" s="74"/>
      <c r="V4" s="74"/>
      <c r="W4" s="74"/>
      <c r="X4" s="74"/>
      <c r="Y4" s="74"/>
      <c r="Z4" s="74"/>
      <c r="AA4" s="75"/>
    </row>
    <row r="5" spans="1:27">
      <c r="A5" s="96" t="s">
        <v>26</v>
      </c>
      <c r="B5" s="97" t="s">
        <v>27</v>
      </c>
      <c r="C5" s="98" t="s">
        <v>28</v>
      </c>
      <c r="D5" s="99" t="s">
        <v>5</v>
      </c>
      <c r="E5" s="100" t="s">
        <v>29</v>
      </c>
      <c r="F5" s="51"/>
      <c r="G5" s="51"/>
      <c r="H5" s="51"/>
      <c r="I5" s="51"/>
      <c r="J5" s="51"/>
      <c r="K5" s="51"/>
      <c r="L5" s="74"/>
      <c r="M5" s="74"/>
      <c r="N5" s="74"/>
      <c r="O5" s="74"/>
      <c r="P5" s="74"/>
      <c r="Q5" s="74"/>
      <c r="R5" s="75"/>
      <c r="S5" s="74"/>
      <c r="T5" s="74"/>
      <c r="U5" s="74"/>
      <c r="V5" s="74"/>
      <c r="W5" s="74"/>
      <c r="X5" s="74"/>
      <c r="Y5" s="74"/>
      <c r="Z5" s="74"/>
      <c r="AA5" s="75"/>
    </row>
    <row r="6" spans="1:27">
      <c r="A6" s="101">
        <f>COUNTIF(I10:I57,"Passed")</f>
        <v>0</v>
      </c>
      <c r="B6" s="101">
        <f>COUNTIF(I10:I57,"Failed")</f>
        <v>0</v>
      </c>
      <c r="C6" s="101">
        <f>COUNTIF(I10:I57,"N/A")</f>
        <v>0</v>
      </c>
      <c r="D6" s="101">
        <f t="shared" ref="D6:D7" si="0">E6-C6-A6-B6</f>
        <v>48</v>
      </c>
      <c r="E6" s="101">
        <f>COUNTA(A10:A57)</f>
        <v>48</v>
      </c>
      <c r="F6" s="51"/>
      <c r="G6" s="51"/>
      <c r="H6" s="51"/>
      <c r="I6" s="51"/>
      <c r="J6" s="51"/>
      <c r="K6" s="51"/>
      <c r="L6" s="76"/>
      <c r="M6" s="76"/>
      <c r="N6" s="76"/>
      <c r="O6" s="76"/>
      <c r="P6" s="76"/>
      <c r="Q6" s="76"/>
      <c r="R6" s="77"/>
      <c r="S6" s="76"/>
      <c r="T6" s="76"/>
      <c r="U6" s="76"/>
      <c r="V6" s="76"/>
      <c r="W6" s="76"/>
      <c r="X6" s="76"/>
      <c r="Y6" s="76"/>
      <c r="Z6" s="76"/>
      <c r="AA6" s="77"/>
    </row>
    <row r="7" spans="1:27">
      <c r="A7" s="101">
        <f>COUNTIF(J10:J57,"Passed")</f>
        <v>0</v>
      </c>
      <c r="B7" s="101">
        <f>COUNTIF(J10:J57,"Failed")</f>
        <v>0</v>
      </c>
      <c r="C7" s="101">
        <f>COUNTIF(J10:J57,"N/A")</f>
        <v>0</v>
      </c>
      <c r="D7" s="101">
        <f t="shared" si="0"/>
        <v>48</v>
      </c>
      <c r="E7" s="101">
        <f>COUNTA(A10:A57)</f>
        <v>48</v>
      </c>
      <c r="F7" s="51"/>
      <c r="G7" s="51"/>
      <c r="H7" s="51"/>
      <c r="I7" s="51"/>
      <c r="J7" s="51"/>
      <c r="K7" s="51"/>
      <c r="L7" s="76"/>
      <c r="M7" s="76"/>
      <c r="N7" s="76"/>
      <c r="O7" s="76"/>
      <c r="P7" s="76"/>
      <c r="Q7" s="76"/>
      <c r="R7" s="77"/>
      <c r="S7" s="76"/>
      <c r="T7" s="76"/>
      <c r="U7" s="76"/>
      <c r="V7" s="76"/>
      <c r="W7" s="76"/>
      <c r="X7" s="76"/>
      <c r="Y7" s="76"/>
      <c r="Z7" s="76"/>
      <c r="AA7" s="77"/>
    </row>
    <row r="8" spans="1:27">
      <c r="A8" s="77"/>
      <c r="B8" s="78"/>
      <c r="C8" s="79"/>
      <c r="D8" s="79"/>
      <c r="E8" s="80"/>
      <c r="F8" s="51"/>
      <c r="G8" s="51"/>
      <c r="H8" s="51"/>
      <c r="I8" s="51"/>
      <c r="J8" s="51"/>
      <c r="K8" s="51"/>
      <c r="L8" s="74"/>
      <c r="M8" s="74"/>
      <c r="N8" s="74"/>
      <c r="O8" s="74"/>
      <c r="P8" s="74"/>
      <c r="Q8" s="74"/>
      <c r="R8" s="75"/>
      <c r="S8" s="74"/>
      <c r="T8" s="74"/>
      <c r="U8" s="74"/>
      <c r="V8" s="74"/>
      <c r="W8" s="74"/>
      <c r="X8" s="74"/>
      <c r="Y8" s="74"/>
      <c r="Z8" s="74"/>
      <c r="AA8" s="75"/>
    </row>
    <row r="9" spans="1:27" ht="13.5">
      <c r="A9" s="102" t="s">
        <v>30</v>
      </c>
      <c r="B9" s="102" t="s">
        <v>31</v>
      </c>
      <c r="C9" s="102" t="s">
        <v>32</v>
      </c>
      <c r="D9" s="102" t="s">
        <v>33</v>
      </c>
      <c r="E9" s="102" t="s">
        <v>34</v>
      </c>
      <c r="F9" s="102" t="s">
        <v>35</v>
      </c>
      <c r="G9" s="102" t="s">
        <v>36</v>
      </c>
      <c r="H9" s="102" t="s">
        <v>37</v>
      </c>
      <c r="I9" s="102" t="s">
        <v>38</v>
      </c>
      <c r="J9" s="102" t="s">
        <v>39</v>
      </c>
      <c r="K9" s="102" t="s">
        <v>40</v>
      </c>
      <c r="L9" s="76"/>
      <c r="M9" s="76"/>
      <c r="N9" s="76"/>
      <c r="O9" s="76"/>
      <c r="P9" s="76"/>
      <c r="Q9" s="76"/>
      <c r="R9" s="77"/>
      <c r="S9" s="77"/>
      <c r="T9" s="77"/>
      <c r="U9" s="77"/>
      <c r="V9" s="77"/>
      <c r="W9" s="77"/>
      <c r="X9" s="77"/>
      <c r="Y9" s="76"/>
      <c r="Z9" s="77"/>
      <c r="AA9" s="77"/>
    </row>
    <row r="10" spans="1:27" ht="91">
      <c r="A10" s="103" t="str">
        <f t="shared" ref="A10:A12" si="1">$C$2&amp;"-"&amp;ROW()-9</f>
        <v>AUTH-1</v>
      </c>
      <c r="B10" s="81" t="s">
        <v>41</v>
      </c>
      <c r="C10" s="82" t="s">
        <v>42</v>
      </c>
      <c r="D10" s="81" t="s">
        <v>43</v>
      </c>
      <c r="E10" s="81" t="s">
        <v>44</v>
      </c>
      <c r="F10" s="81" t="s">
        <v>45</v>
      </c>
      <c r="G10" s="81" t="s">
        <v>46</v>
      </c>
      <c r="H10" s="81" t="s">
        <v>47</v>
      </c>
      <c r="I10" s="83"/>
      <c r="J10" s="83"/>
      <c r="K10" s="84" t="s">
        <v>48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27" ht="91">
      <c r="A11" s="104" t="str">
        <f t="shared" si="1"/>
        <v>AUTH-2</v>
      </c>
      <c r="B11" s="85" t="s">
        <v>41</v>
      </c>
      <c r="C11" s="86" t="s">
        <v>42</v>
      </c>
      <c r="D11" s="85" t="s">
        <v>49</v>
      </c>
      <c r="E11" s="85" t="s">
        <v>44</v>
      </c>
      <c r="F11" s="85" t="s">
        <v>50</v>
      </c>
      <c r="G11" s="85" t="s">
        <v>51</v>
      </c>
      <c r="H11" s="85" t="s">
        <v>52</v>
      </c>
      <c r="I11" s="87"/>
      <c r="J11" s="87"/>
      <c r="K11" s="86" t="s">
        <v>48</v>
      </c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 spans="1:27" ht="91">
      <c r="A12" s="104" t="str">
        <f t="shared" si="1"/>
        <v>AUTH-3</v>
      </c>
      <c r="B12" s="85" t="s">
        <v>41</v>
      </c>
      <c r="C12" s="86" t="s">
        <v>42</v>
      </c>
      <c r="D12" s="85" t="s">
        <v>53</v>
      </c>
      <c r="E12" s="85" t="s">
        <v>44</v>
      </c>
      <c r="F12" s="85" t="s">
        <v>54</v>
      </c>
      <c r="G12" s="85" t="s">
        <v>55</v>
      </c>
      <c r="H12" s="85" t="s">
        <v>56</v>
      </c>
      <c r="I12" s="87"/>
      <c r="J12" s="87"/>
      <c r="K12" s="86" t="s">
        <v>57</v>
      </c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27" ht="91">
      <c r="A13" s="88" t="s">
        <v>58</v>
      </c>
      <c r="B13" s="89" t="s">
        <v>41</v>
      </c>
      <c r="C13" s="89" t="s">
        <v>42</v>
      </c>
      <c r="D13" s="89" t="s">
        <v>59</v>
      </c>
      <c r="E13" s="89" t="s">
        <v>44</v>
      </c>
      <c r="F13" s="89" t="s">
        <v>60</v>
      </c>
      <c r="G13" s="89" t="s">
        <v>61</v>
      </c>
      <c r="H13" s="89" t="s">
        <v>62</v>
      </c>
      <c r="I13" s="87"/>
      <c r="J13" s="87"/>
      <c r="K13" s="89" t="s">
        <v>63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</row>
    <row r="14" spans="1:27" ht="91">
      <c r="A14" s="88" t="s">
        <v>64</v>
      </c>
      <c r="B14" s="89" t="s">
        <v>41</v>
      </c>
      <c r="C14" s="89" t="s">
        <v>42</v>
      </c>
      <c r="D14" s="89" t="s">
        <v>65</v>
      </c>
      <c r="E14" s="89" t="s">
        <v>44</v>
      </c>
      <c r="F14" s="89" t="s">
        <v>66</v>
      </c>
      <c r="G14" s="89" t="s">
        <v>67</v>
      </c>
      <c r="H14" s="89" t="s">
        <v>68</v>
      </c>
      <c r="I14" s="87"/>
      <c r="J14" s="87"/>
      <c r="K14" s="89" t="s">
        <v>69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</row>
    <row r="15" spans="1:27" ht="91">
      <c r="A15" s="88" t="s">
        <v>70</v>
      </c>
      <c r="B15" s="89" t="s">
        <v>41</v>
      </c>
      <c r="C15" s="89" t="s">
        <v>42</v>
      </c>
      <c r="D15" s="89" t="s">
        <v>71</v>
      </c>
      <c r="E15" s="89" t="s">
        <v>44</v>
      </c>
      <c r="F15" s="89" t="s">
        <v>72</v>
      </c>
      <c r="G15" s="89" t="s">
        <v>73</v>
      </c>
      <c r="H15" s="89" t="s">
        <v>74</v>
      </c>
      <c r="I15" s="87"/>
      <c r="J15" s="87"/>
      <c r="K15" s="89" t="s">
        <v>63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</row>
    <row r="16" spans="1:27" ht="91">
      <c r="A16" s="88" t="s">
        <v>75</v>
      </c>
      <c r="B16" s="89" t="s">
        <v>41</v>
      </c>
      <c r="C16" s="89" t="s">
        <v>42</v>
      </c>
      <c r="D16" s="89" t="s">
        <v>76</v>
      </c>
      <c r="E16" s="89" t="s">
        <v>44</v>
      </c>
      <c r="F16" s="89" t="s">
        <v>77</v>
      </c>
      <c r="G16" s="89" t="s">
        <v>78</v>
      </c>
      <c r="H16" s="89" t="s">
        <v>79</v>
      </c>
      <c r="I16" s="87"/>
      <c r="J16" s="87"/>
      <c r="K16" s="89" t="s">
        <v>63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spans="1:27" ht="91">
      <c r="A17" s="88" t="s">
        <v>80</v>
      </c>
      <c r="B17" s="89" t="s">
        <v>41</v>
      </c>
      <c r="C17" s="89" t="s">
        <v>42</v>
      </c>
      <c r="D17" s="89" t="s">
        <v>81</v>
      </c>
      <c r="E17" s="89" t="s">
        <v>44</v>
      </c>
      <c r="F17" s="89" t="s">
        <v>82</v>
      </c>
      <c r="G17" s="89" t="s">
        <v>83</v>
      </c>
      <c r="H17" s="89" t="s">
        <v>84</v>
      </c>
      <c r="I17" s="87"/>
      <c r="J17" s="87"/>
      <c r="K17" s="89" t="s">
        <v>63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</row>
    <row r="18" spans="1:27" ht="91">
      <c r="A18" s="88" t="s">
        <v>85</v>
      </c>
      <c r="B18" s="89" t="s">
        <v>41</v>
      </c>
      <c r="C18" s="89" t="s">
        <v>42</v>
      </c>
      <c r="D18" s="89" t="s">
        <v>86</v>
      </c>
      <c r="E18" s="89" t="s">
        <v>44</v>
      </c>
      <c r="F18" s="89" t="s">
        <v>87</v>
      </c>
      <c r="G18" s="89" t="s">
        <v>88</v>
      </c>
      <c r="H18" s="89" t="s">
        <v>89</v>
      </c>
      <c r="I18" s="87"/>
      <c r="J18" s="87"/>
      <c r="K18" s="89" t="s">
        <v>63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</row>
    <row r="19" spans="1:27" ht="91">
      <c r="A19" s="88" t="s">
        <v>90</v>
      </c>
      <c r="B19" s="89" t="s">
        <v>41</v>
      </c>
      <c r="C19" s="89" t="s">
        <v>42</v>
      </c>
      <c r="D19" s="89" t="s">
        <v>91</v>
      </c>
      <c r="E19" s="89" t="s">
        <v>92</v>
      </c>
      <c r="F19" s="89" t="s">
        <v>93</v>
      </c>
      <c r="G19" s="89" t="s">
        <v>94</v>
      </c>
      <c r="H19" s="89" t="s">
        <v>95</v>
      </c>
      <c r="I19" s="87"/>
      <c r="J19" s="87"/>
      <c r="K19" s="89" t="s">
        <v>96</v>
      </c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</row>
    <row r="20" spans="1:27" ht="91">
      <c r="A20" s="88" t="s">
        <v>97</v>
      </c>
      <c r="B20" s="89" t="s">
        <v>41</v>
      </c>
      <c r="C20" s="89" t="s">
        <v>42</v>
      </c>
      <c r="D20" s="89" t="s">
        <v>98</v>
      </c>
      <c r="E20" s="89" t="s">
        <v>99</v>
      </c>
      <c r="F20" s="89" t="s">
        <v>100</v>
      </c>
      <c r="G20" s="89" t="s">
        <v>101</v>
      </c>
      <c r="H20" s="89" t="s">
        <v>102</v>
      </c>
      <c r="I20" s="87"/>
      <c r="J20" s="87"/>
      <c r="K20" s="89" t="s">
        <v>103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</row>
    <row r="21" spans="1:27" ht="91">
      <c r="A21" s="88" t="s">
        <v>104</v>
      </c>
      <c r="B21" s="89" t="s">
        <v>41</v>
      </c>
      <c r="C21" s="89" t="s">
        <v>105</v>
      </c>
      <c r="D21" s="89" t="s">
        <v>106</v>
      </c>
      <c r="E21" s="89" t="s">
        <v>44</v>
      </c>
      <c r="F21" s="89" t="s">
        <v>107</v>
      </c>
      <c r="G21" s="89" t="s">
        <v>108</v>
      </c>
      <c r="H21" s="89" t="s">
        <v>109</v>
      </c>
      <c r="I21" s="87"/>
      <c r="J21" s="87"/>
      <c r="K21" s="89" t="s">
        <v>110</v>
      </c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 spans="1:27" ht="91">
      <c r="A22" s="88" t="s">
        <v>111</v>
      </c>
      <c r="B22" s="89" t="s">
        <v>41</v>
      </c>
      <c r="C22" s="89" t="s">
        <v>105</v>
      </c>
      <c r="D22" s="89" t="s">
        <v>112</v>
      </c>
      <c r="E22" s="89" t="s">
        <v>44</v>
      </c>
      <c r="F22" s="89" t="s">
        <v>113</v>
      </c>
      <c r="G22" s="89" t="s">
        <v>114</v>
      </c>
      <c r="H22" s="89" t="s">
        <v>109</v>
      </c>
      <c r="I22" s="87"/>
      <c r="J22" s="87"/>
      <c r="K22" s="89" t="s">
        <v>110</v>
      </c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</row>
    <row r="23" spans="1:27" ht="91">
      <c r="A23" s="88" t="s">
        <v>115</v>
      </c>
      <c r="B23" s="89" t="s">
        <v>41</v>
      </c>
      <c r="C23" s="89" t="s">
        <v>105</v>
      </c>
      <c r="D23" s="89" t="s">
        <v>116</v>
      </c>
      <c r="E23" s="89" t="s">
        <v>44</v>
      </c>
      <c r="F23" s="89" t="s">
        <v>117</v>
      </c>
      <c r="G23" s="89" t="s">
        <v>118</v>
      </c>
      <c r="H23" s="89" t="s">
        <v>109</v>
      </c>
      <c r="I23" s="87"/>
      <c r="J23" s="87"/>
      <c r="K23" s="89" t="s">
        <v>110</v>
      </c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</row>
    <row r="24" spans="1:27" ht="52">
      <c r="A24" s="88" t="s">
        <v>119</v>
      </c>
      <c r="B24" s="89" t="s">
        <v>41</v>
      </c>
      <c r="C24" s="89" t="s">
        <v>120</v>
      </c>
      <c r="D24" s="89" t="s">
        <v>121</v>
      </c>
      <c r="E24" s="89" t="s">
        <v>44</v>
      </c>
      <c r="F24" s="89" t="s">
        <v>122</v>
      </c>
      <c r="G24" s="89" t="s">
        <v>123</v>
      </c>
      <c r="H24" s="89" t="s">
        <v>124</v>
      </c>
      <c r="I24" s="87"/>
      <c r="J24" s="87"/>
      <c r="K24" s="89" t="s">
        <v>125</v>
      </c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spans="1:27" ht="39">
      <c r="A25" s="88" t="s">
        <v>126</v>
      </c>
      <c r="B25" s="89" t="s">
        <v>41</v>
      </c>
      <c r="C25" s="89" t="s">
        <v>120</v>
      </c>
      <c r="D25" s="89" t="s">
        <v>127</v>
      </c>
      <c r="E25" s="89" t="s">
        <v>44</v>
      </c>
      <c r="F25" s="89" t="s">
        <v>128</v>
      </c>
      <c r="G25" s="89" t="s">
        <v>129</v>
      </c>
      <c r="H25" s="89" t="s">
        <v>130</v>
      </c>
      <c r="I25" s="87"/>
      <c r="J25" s="87"/>
      <c r="K25" s="89" t="s">
        <v>131</v>
      </c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</row>
    <row r="26" spans="1:27" ht="52">
      <c r="A26" s="88" t="s">
        <v>132</v>
      </c>
      <c r="B26" s="89" t="s">
        <v>41</v>
      </c>
      <c r="C26" s="89" t="s">
        <v>133</v>
      </c>
      <c r="D26" s="89" t="s">
        <v>134</v>
      </c>
      <c r="E26" s="89" t="s">
        <v>135</v>
      </c>
      <c r="F26" s="89" t="s">
        <v>136</v>
      </c>
      <c r="G26" s="89" t="s">
        <v>137</v>
      </c>
      <c r="H26" s="89" t="s">
        <v>138</v>
      </c>
      <c r="I26" s="87"/>
      <c r="J26" s="87"/>
      <c r="K26" s="89" t="s">
        <v>139</v>
      </c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</row>
    <row r="27" spans="1:27" ht="39">
      <c r="A27" s="88" t="s">
        <v>140</v>
      </c>
      <c r="B27" s="89" t="s">
        <v>41</v>
      </c>
      <c r="C27" s="89" t="s">
        <v>133</v>
      </c>
      <c r="D27" s="89" t="s">
        <v>141</v>
      </c>
      <c r="E27" s="89" t="s">
        <v>142</v>
      </c>
      <c r="F27" s="89" t="s">
        <v>143</v>
      </c>
      <c r="G27" s="89" t="s">
        <v>144</v>
      </c>
      <c r="H27" s="89" t="s">
        <v>145</v>
      </c>
      <c r="I27" s="87"/>
      <c r="J27" s="87"/>
      <c r="K27" s="89" t="s">
        <v>146</v>
      </c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</row>
    <row r="28" spans="1:27" ht="39">
      <c r="A28" s="88" t="s">
        <v>147</v>
      </c>
      <c r="B28" s="89" t="s">
        <v>41</v>
      </c>
      <c r="C28" s="89" t="s">
        <v>133</v>
      </c>
      <c r="D28" s="89" t="s">
        <v>148</v>
      </c>
      <c r="E28" s="89" t="s">
        <v>149</v>
      </c>
      <c r="F28" s="89" t="s">
        <v>150</v>
      </c>
      <c r="G28" s="89" t="s">
        <v>151</v>
      </c>
      <c r="H28" s="89" t="s">
        <v>152</v>
      </c>
      <c r="I28" s="87"/>
      <c r="J28" s="87"/>
      <c r="K28" s="89" t="s">
        <v>153</v>
      </c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</row>
    <row r="29" spans="1:27" ht="52">
      <c r="A29" s="88" t="s">
        <v>154</v>
      </c>
      <c r="B29" s="89" t="s">
        <v>41</v>
      </c>
      <c r="C29" s="89" t="s">
        <v>155</v>
      </c>
      <c r="D29" s="89" t="s">
        <v>156</v>
      </c>
      <c r="E29" s="89" t="s">
        <v>157</v>
      </c>
      <c r="F29" s="89" t="s">
        <v>158</v>
      </c>
      <c r="G29" s="89" t="s">
        <v>159</v>
      </c>
      <c r="H29" s="89" t="s">
        <v>160</v>
      </c>
      <c r="I29" s="87"/>
      <c r="J29" s="87"/>
      <c r="K29" s="89" t="s">
        <v>161</v>
      </c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</row>
    <row r="30" spans="1:27" ht="78">
      <c r="A30" s="88" t="s">
        <v>162</v>
      </c>
      <c r="B30" s="89" t="s">
        <v>41</v>
      </c>
      <c r="C30" s="89" t="s">
        <v>163</v>
      </c>
      <c r="D30" s="89" t="s">
        <v>164</v>
      </c>
      <c r="E30" s="89" t="s">
        <v>165</v>
      </c>
      <c r="F30" s="89" t="s">
        <v>166</v>
      </c>
      <c r="G30" s="89" t="s">
        <v>167</v>
      </c>
      <c r="H30" s="89" t="s">
        <v>168</v>
      </c>
      <c r="I30" s="87"/>
      <c r="J30" s="87"/>
      <c r="K30" s="89" t="s">
        <v>169</v>
      </c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</row>
    <row r="31" spans="1:27" ht="52">
      <c r="A31" s="88" t="s">
        <v>170</v>
      </c>
      <c r="B31" s="89" t="s">
        <v>41</v>
      </c>
      <c r="C31" s="89" t="s">
        <v>163</v>
      </c>
      <c r="D31" s="89" t="s">
        <v>171</v>
      </c>
      <c r="E31" s="89" t="s">
        <v>165</v>
      </c>
      <c r="F31" s="89" t="s">
        <v>172</v>
      </c>
      <c r="G31" s="89" t="s">
        <v>173</v>
      </c>
      <c r="H31" s="89" t="s">
        <v>174</v>
      </c>
      <c r="I31" s="87"/>
      <c r="J31" s="87"/>
      <c r="K31" s="89" t="s">
        <v>175</v>
      </c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</row>
    <row r="32" spans="1:27" ht="52">
      <c r="A32" s="88" t="s">
        <v>176</v>
      </c>
      <c r="B32" s="89" t="s">
        <v>41</v>
      </c>
      <c r="C32" s="89" t="s">
        <v>163</v>
      </c>
      <c r="D32" s="89" t="s">
        <v>177</v>
      </c>
      <c r="E32" s="89" t="s">
        <v>165</v>
      </c>
      <c r="F32" s="89" t="s">
        <v>172</v>
      </c>
      <c r="G32" s="89" t="s">
        <v>178</v>
      </c>
      <c r="H32" s="89" t="s">
        <v>179</v>
      </c>
      <c r="I32" s="87"/>
      <c r="J32" s="87"/>
      <c r="K32" s="89" t="s">
        <v>175</v>
      </c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</row>
    <row r="33" spans="1:27" ht="52">
      <c r="A33" s="88" t="s">
        <v>180</v>
      </c>
      <c r="B33" s="89" t="s">
        <v>41</v>
      </c>
      <c r="C33" s="89" t="s">
        <v>163</v>
      </c>
      <c r="D33" s="89" t="s">
        <v>181</v>
      </c>
      <c r="E33" s="89" t="s">
        <v>165</v>
      </c>
      <c r="F33" s="89" t="s">
        <v>172</v>
      </c>
      <c r="G33" s="89" t="s">
        <v>182</v>
      </c>
      <c r="H33" s="89" t="s">
        <v>183</v>
      </c>
      <c r="I33" s="87"/>
      <c r="J33" s="87"/>
      <c r="K33" s="89" t="s">
        <v>175</v>
      </c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  <row r="34" spans="1:27" ht="52">
      <c r="A34" s="88" t="s">
        <v>184</v>
      </c>
      <c r="B34" s="89" t="s">
        <v>41</v>
      </c>
      <c r="C34" s="89" t="s">
        <v>163</v>
      </c>
      <c r="D34" s="89" t="s">
        <v>185</v>
      </c>
      <c r="E34" s="89" t="s">
        <v>165</v>
      </c>
      <c r="F34" s="89" t="s">
        <v>172</v>
      </c>
      <c r="G34" s="89" t="s">
        <v>186</v>
      </c>
      <c r="H34" s="89" t="s">
        <v>183</v>
      </c>
      <c r="I34" s="87"/>
      <c r="J34" s="87"/>
      <c r="K34" s="89" t="s">
        <v>175</v>
      </c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  <row r="35" spans="1:27" ht="52">
      <c r="A35" s="88" t="s">
        <v>187</v>
      </c>
      <c r="B35" s="89" t="s">
        <v>41</v>
      </c>
      <c r="C35" s="89" t="s">
        <v>163</v>
      </c>
      <c r="D35" s="89" t="s">
        <v>188</v>
      </c>
      <c r="E35" s="89" t="s">
        <v>165</v>
      </c>
      <c r="F35" s="89" t="s">
        <v>172</v>
      </c>
      <c r="G35" s="89" t="s">
        <v>189</v>
      </c>
      <c r="H35" s="89" t="s">
        <v>190</v>
      </c>
      <c r="I35" s="87"/>
      <c r="J35" s="87"/>
      <c r="K35" s="89" t="s">
        <v>175</v>
      </c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</row>
    <row r="36" spans="1:27" ht="52">
      <c r="A36" s="88" t="s">
        <v>191</v>
      </c>
      <c r="B36" s="89" t="s">
        <v>41</v>
      </c>
      <c r="C36" s="89" t="s">
        <v>163</v>
      </c>
      <c r="D36" s="89" t="s">
        <v>192</v>
      </c>
      <c r="E36" s="89" t="s">
        <v>165</v>
      </c>
      <c r="F36" s="89" t="s">
        <v>172</v>
      </c>
      <c r="G36" s="89" t="s">
        <v>193</v>
      </c>
      <c r="H36" s="89" t="s">
        <v>194</v>
      </c>
      <c r="I36" s="87"/>
      <c r="J36" s="87"/>
      <c r="K36" s="89" t="s">
        <v>175</v>
      </c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</row>
    <row r="37" spans="1:27" ht="65">
      <c r="A37" s="88" t="s">
        <v>195</v>
      </c>
      <c r="B37" s="89" t="s">
        <v>41</v>
      </c>
      <c r="C37" s="89" t="s">
        <v>196</v>
      </c>
      <c r="D37" s="89" t="s">
        <v>197</v>
      </c>
      <c r="E37" s="89" t="s">
        <v>198</v>
      </c>
      <c r="F37" s="89" t="s">
        <v>199</v>
      </c>
      <c r="G37" s="89" t="s">
        <v>200</v>
      </c>
      <c r="H37" s="89" t="s">
        <v>201</v>
      </c>
      <c r="I37" s="87"/>
      <c r="J37" s="87"/>
      <c r="K37" s="89" t="s">
        <v>202</v>
      </c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</row>
    <row r="38" spans="1:27" ht="52">
      <c r="A38" s="88" t="s">
        <v>203</v>
      </c>
      <c r="B38" s="89" t="s">
        <v>41</v>
      </c>
      <c r="C38" s="89" t="s">
        <v>196</v>
      </c>
      <c r="D38" s="89" t="s">
        <v>204</v>
      </c>
      <c r="E38" s="89" t="s">
        <v>198</v>
      </c>
      <c r="F38" s="89" t="s">
        <v>205</v>
      </c>
      <c r="G38" s="89" t="s">
        <v>206</v>
      </c>
      <c r="H38" s="89" t="s">
        <v>207</v>
      </c>
      <c r="I38" s="87"/>
      <c r="J38" s="87"/>
      <c r="K38" s="89" t="s">
        <v>208</v>
      </c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</row>
    <row r="39" spans="1:27" ht="52">
      <c r="A39" s="88" t="s">
        <v>209</v>
      </c>
      <c r="B39" s="89" t="s">
        <v>41</v>
      </c>
      <c r="C39" s="89" t="s">
        <v>196</v>
      </c>
      <c r="D39" s="89" t="s">
        <v>210</v>
      </c>
      <c r="E39" s="89" t="s">
        <v>198</v>
      </c>
      <c r="F39" s="89" t="s">
        <v>205</v>
      </c>
      <c r="G39" s="89" t="s">
        <v>211</v>
      </c>
      <c r="H39" s="89" t="s">
        <v>212</v>
      </c>
      <c r="I39" s="87"/>
      <c r="J39" s="87"/>
      <c r="K39" s="89" t="s">
        <v>208</v>
      </c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</row>
    <row r="40" spans="1:27" ht="52">
      <c r="A40" s="88" t="s">
        <v>213</v>
      </c>
      <c r="B40" s="89" t="s">
        <v>41</v>
      </c>
      <c r="C40" s="89" t="s">
        <v>196</v>
      </c>
      <c r="D40" s="89" t="s">
        <v>214</v>
      </c>
      <c r="E40" s="89" t="s">
        <v>198</v>
      </c>
      <c r="F40" s="89" t="s">
        <v>205</v>
      </c>
      <c r="G40" s="89" t="s">
        <v>215</v>
      </c>
      <c r="H40" s="89" t="s">
        <v>216</v>
      </c>
      <c r="I40" s="87"/>
      <c r="J40" s="87"/>
      <c r="K40" s="89" t="s">
        <v>208</v>
      </c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</row>
    <row r="41" spans="1:27" ht="52">
      <c r="A41" s="88" t="s">
        <v>217</v>
      </c>
      <c r="B41" s="89" t="s">
        <v>41</v>
      </c>
      <c r="C41" s="89" t="s">
        <v>196</v>
      </c>
      <c r="D41" s="89" t="s">
        <v>218</v>
      </c>
      <c r="E41" s="89" t="s">
        <v>198</v>
      </c>
      <c r="F41" s="89" t="s">
        <v>205</v>
      </c>
      <c r="G41" s="89" t="s">
        <v>219</v>
      </c>
      <c r="H41" s="89" t="s">
        <v>220</v>
      </c>
      <c r="I41" s="87"/>
      <c r="J41" s="87"/>
      <c r="K41" s="89" t="s">
        <v>221</v>
      </c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</row>
    <row r="42" spans="1:27" ht="52">
      <c r="A42" s="88" t="s">
        <v>222</v>
      </c>
      <c r="B42" s="89" t="s">
        <v>41</v>
      </c>
      <c r="C42" s="89" t="s">
        <v>196</v>
      </c>
      <c r="D42" s="89" t="s">
        <v>223</v>
      </c>
      <c r="E42" s="89" t="s">
        <v>198</v>
      </c>
      <c r="F42" s="89" t="s">
        <v>205</v>
      </c>
      <c r="G42" s="89" t="s">
        <v>224</v>
      </c>
      <c r="H42" s="89" t="s">
        <v>225</v>
      </c>
      <c r="I42" s="87"/>
      <c r="J42" s="87"/>
      <c r="K42" s="89" t="s">
        <v>221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</row>
    <row r="43" spans="1:27" ht="52">
      <c r="A43" s="88" t="s">
        <v>226</v>
      </c>
      <c r="B43" s="89" t="s">
        <v>41</v>
      </c>
      <c r="C43" s="89" t="s">
        <v>196</v>
      </c>
      <c r="D43" s="89" t="s">
        <v>227</v>
      </c>
      <c r="E43" s="89" t="s">
        <v>198</v>
      </c>
      <c r="F43" s="89" t="s">
        <v>205</v>
      </c>
      <c r="G43" s="89" t="s">
        <v>228</v>
      </c>
      <c r="H43" s="89" t="s">
        <v>229</v>
      </c>
      <c r="I43" s="87"/>
      <c r="J43" s="87"/>
      <c r="K43" s="89" t="s">
        <v>221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</row>
    <row r="44" spans="1:27" ht="52">
      <c r="A44" s="88" t="s">
        <v>230</v>
      </c>
      <c r="B44" s="89" t="s">
        <v>41</v>
      </c>
      <c r="C44" s="89" t="s">
        <v>196</v>
      </c>
      <c r="D44" s="89" t="s">
        <v>231</v>
      </c>
      <c r="E44" s="89" t="s">
        <v>198</v>
      </c>
      <c r="F44" s="89" t="s">
        <v>205</v>
      </c>
      <c r="G44" s="89" t="s">
        <v>232</v>
      </c>
      <c r="H44" s="89" t="s">
        <v>233</v>
      </c>
      <c r="I44" s="87"/>
      <c r="J44" s="87"/>
      <c r="K44" s="89" t="s">
        <v>221</v>
      </c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</row>
    <row r="45" spans="1:27" ht="52">
      <c r="A45" s="88" t="s">
        <v>234</v>
      </c>
      <c r="B45" s="89" t="s">
        <v>41</v>
      </c>
      <c r="C45" s="89" t="s">
        <v>196</v>
      </c>
      <c r="D45" s="89" t="s">
        <v>235</v>
      </c>
      <c r="E45" s="89" t="s">
        <v>198</v>
      </c>
      <c r="F45" s="89" t="s">
        <v>205</v>
      </c>
      <c r="G45" s="89" t="s">
        <v>236</v>
      </c>
      <c r="H45" s="89" t="s">
        <v>237</v>
      </c>
      <c r="I45" s="87"/>
      <c r="J45" s="87"/>
      <c r="K45" s="89" t="s">
        <v>221</v>
      </c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</row>
    <row r="46" spans="1:27" ht="39">
      <c r="A46" s="88" t="s">
        <v>238</v>
      </c>
      <c r="B46" s="89" t="s">
        <v>41</v>
      </c>
      <c r="C46" s="89" t="s">
        <v>239</v>
      </c>
      <c r="D46" s="89" t="s">
        <v>240</v>
      </c>
      <c r="E46" s="89" t="s">
        <v>241</v>
      </c>
      <c r="F46" s="89" t="s">
        <v>242</v>
      </c>
      <c r="G46" s="89" t="s">
        <v>243</v>
      </c>
      <c r="H46" s="89" t="s">
        <v>244</v>
      </c>
      <c r="I46" s="87"/>
      <c r="J46" s="87"/>
      <c r="K46" s="89" t="s">
        <v>245</v>
      </c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</row>
    <row r="47" spans="1:27" ht="65">
      <c r="A47" s="88" t="s">
        <v>246</v>
      </c>
      <c r="B47" s="89" t="s">
        <v>41</v>
      </c>
      <c r="C47" s="89" t="s">
        <v>247</v>
      </c>
      <c r="D47" s="89" t="s">
        <v>248</v>
      </c>
      <c r="E47" s="89" t="s">
        <v>241</v>
      </c>
      <c r="F47" s="89" t="s">
        <v>249</v>
      </c>
      <c r="G47" s="89" t="s">
        <v>250</v>
      </c>
      <c r="H47" s="89" t="s">
        <v>251</v>
      </c>
      <c r="I47" s="87"/>
      <c r="J47" s="87"/>
      <c r="K47" s="89" t="s">
        <v>252</v>
      </c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</row>
    <row r="48" spans="1:27" ht="52">
      <c r="A48" s="88" t="s">
        <v>253</v>
      </c>
      <c r="B48" s="89" t="s">
        <v>41</v>
      </c>
      <c r="C48" s="89" t="s">
        <v>247</v>
      </c>
      <c r="D48" s="89" t="s">
        <v>254</v>
      </c>
      <c r="E48" s="89" t="s">
        <v>241</v>
      </c>
      <c r="F48" s="89" t="s">
        <v>255</v>
      </c>
      <c r="G48" s="89" t="s">
        <v>256</v>
      </c>
      <c r="H48" s="89" t="s">
        <v>257</v>
      </c>
      <c r="I48" s="87"/>
      <c r="J48" s="87"/>
      <c r="K48" s="89" t="s">
        <v>258</v>
      </c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spans="1:27" ht="52">
      <c r="A49" s="88" t="s">
        <v>259</v>
      </c>
      <c r="B49" s="89" t="s">
        <v>41</v>
      </c>
      <c r="C49" s="89" t="s">
        <v>247</v>
      </c>
      <c r="D49" s="89" t="s">
        <v>260</v>
      </c>
      <c r="E49" s="89" t="s">
        <v>241</v>
      </c>
      <c r="F49" s="89" t="s">
        <v>255</v>
      </c>
      <c r="G49" s="89" t="s">
        <v>261</v>
      </c>
      <c r="H49" s="89" t="s">
        <v>262</v>
      </c>
      <c r="I49" s="87"/>
      <c r="J49" s="87"/>
      <c r="K49" s="89" t="s">
        <v>258</v>
      </c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</row>
    <row r="50" spans="1:27" ht="52">
      <c r="A50" s="88" t="s">
        <v>263</v>
      </c>
      <c r="B50" s="89" t="s">
        <v>41</v>
      </c>
      <c r="C50" s="89" t="s">
        <v>247</v>
      </c>
      <c r="D50" s="89" t="s">
        <v>264</v>
      </c>
      <c r="E50" s="89" t="s">
        <v>241</v>
      </c>
      <c r="F50" s="89" t="s">
        <v>255</v>
      </c>
      <c r="G50" s="89" t="s">
        <v>265</v>
      </c>
      <c r="H50" s="89" t="s">
        <v>266</v>
      </c>
      <c r="I50" s="87"/>
      <c r="J50" s="87"/>
      <c r="K50" s="89" t="s">
        <v>258</v>
      </c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</row>
    <row r="51" spans="1:27" ht="52">
      <c r="A51" s="88" t="s">
        <v>267</v>
      </c>
      <c r="B51" s="89" t="s">
        <v>41</v>
      </c>
      <c r="C51" s="89" t="s">
        <v>247</v>
      </c>
      <c r="D51" s="89" t="s">
        <v>268</v>
      </c>
      <c r="E51" s="89" t="s">
        <v>241</v>
      </c>
      <c r="F51" s="89" t="s">
        <v>255</v>
      </c>
      <c r="G51" s="89" t="s">
        <v>269</v>
      </c>
      <c r="H51" s="89" t="s">
        <v>270</v>
      </c>
      <c r="I51" s="87"/>
      <c r="J51" s="87"/>
      <c r="K51" s="89" t="s">
        <v>258</v>
      </c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</row>
    <row r="52" spans="1:27" ht="52">
      <c r="A52" s="88" t="s">
        <v>271</v>
      </c>
      <c r="B52" s="89" t="s">
        <v>41</v>
      </c>
      <c r="C52" s="89" t="s">
        <v>247</v>
      </c>
      <c r="D52" s="89" t="s">
        <v>272</v>
      </c>
      <c r="E52" s="89" t="s">
        <v>241</v>
      </c>
      <c r="F52" s="89" t="s">
        <v>255</v>
      </c>
      <c r="G52" s="89" t="s">
        <v>273</v>
      </c>
      <c r="H52" s="89" t="s">
        <v>274</v>
      </c>
      <c r="I52" s="87"/>
      <c r="J52" s="87"/>
      <c r="K52" s="89" t="s">
        <v>258</v>
      </c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</row>
    <row r="53" spans="1:27" ht="52">
      <c r="A53" s="88" t="s">
        <v>275</v>
      </c>
      <c r="B53" s="89" t="s">
        <v>41</v>
      </c>
      <c r="C53" s="89" t="s">
        <v>276</v>
      </c>
      <c r="D53" s="89" t="s">
        <v>277</v>
      </c>
      <c r="E53" s="89" t="s">
        <v>241</v>
      </c>
      <c r="F53" s="89" t="s">
        <v>278</v>
      </c>
      <c r="G53" s="89" t="s">
        <v>279</v>
      </c>
      <c r="H53" s="89" t="s">
        <v>280</v>
      </c>
      <c r="I53" s="87"/>
      <c r="J53" s="87"/>
      <c r="K53" s="89" t="s">
        <v>281</v>
      </c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</row>
    <row r="54" spans="1:27" ht="52">
      <c r="A54" s="88" t="s">
        <v>282</v>
      </c>
      <c r="B54" s="89" t="s">
        <v>41</v>
      </c>
      <c r="C54" s="89" t="s">
        <v>276</v>
      </c>
      <c r="D54" s="89" t="s">
        <v>283</v>
      </c>
      <c r="E54" s="89" t="s">
        <v>241</v>
      </c>
      <c r="F54" s="89" t="s">
        <v>284</v>
      </c>
      <c r="G54" s="89" t="s">
        <v>285</v>
      </c>
      <c r="H54" s="89" t="s">
        <v>286</v>
      </c>
      <c r="I54" s="87"/>
      <c r="J54" s="87"/>
      <c r="K54" s="89" t="s">
        <v>287</v>
      </c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</row>
    <row r="55" spans="1:27" ht="52">
      <c r="A55" s="88" t="s">
        <v>288</v>
      </c>
      <c r="B55" s="89" t="s">
        <v>41</v>
      </c>
      <c r="C55" s="89" t="s">
        <v>276</v>
      </c>
      <c r="D55" s="89" t="s">
        <v>289</v>
      </c>
      <c r="E55" s="89" t="s">
        <v>241</v>
      </c>
      <c r="F55" s="89" t="s">
        <v>284</v>
      </c>
      <c r="G55" s="89" t="s">
        <v>290</v>
      </c>
      <c r="H55" s="89" t="s">
        <v>291</v>
      </c>
      <c r="I55" s="87"/>
      <c r="J55" s="87"/>
      <c r="K55" s="89" t="s">
        <v>292</v>
      </c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</row>
    <row r="56" spans="1:27" ht="52">
      <c r="A56" s="88" t="s">
        <v>293</v>
      </c>
      <c r="B56" s="89" t="s">
        <v>41</v>
      </c>
      <c r="C56" s="89" t="s">
        <v>276</v>
      </c>
      <c r="D56" s="89" t="s">
        <v>294</v>
      </c>
      <c r="E56" s="89" t="s">
        <v>241</v>
      </c>
      <c r="F56" s="89" t="s">
        <v>284</v>
      </c>
      <c r="G56" s="89" t="s">
        <v>295</v>
      </c>
      <c r="H56" s="89" t="s">
        <v>296</v>
      </c>
      <c r="I56" s="87"/>
      <c r="J56" s="87"/>
      <c r="K56" s="89" t="s">
        <v>292</v>
      </c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</row>
    <row r="57" spans="1:27" ht="52">
      <c r="A57" s="88" t="s">
        <v>297</v>
      </c>
      <c r="B57" s="89" t="s">
        <v>41</v>
      </c>
      <c r="C57" s="89" t="s">
        <v>276</v>
      </c>
      <c r="D57" s="89" t="s">
        <v>298</v>
      </c>
      <c r="E57" s="89" t="s">
        <v>241</v>
      </c>
      <c r="F57" s="89" t="s">
        <v>284</v>
      </c>
      <c r="G57" s="89" t="s">
        <v>299</v>
      </c>
      <c r="H57" s="89" t="s">
        <v>300</v>
      </c>
      <c r="I57" s="87"/>
      <c r="J57" s="87"/>
      <c r="K57" s="89" t="s">
        <v>292</v>
      </c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</row>
    <row r="58" spans="1:27" ht="52">
      <c r="A58" s="68" t="s">
        <v>301</v>
      </c>
      <c r="B58" s="69" t="s">
        <v>302</v>
      </c>
      <c r="C58" s="69" t="s">
        <v>303</v>
      </c>
      <c r="D58" s="69" t="s">
        <v>304</v>
      </c>
      <c r="E58" s="69" t="s">
        <v>305</v>
      </c>
      <c r="F58" s="69" t="s">
        <v>306</v>
      </c>
      <c r="G58" s="69" t="s">
        <v>307</v>
      </c>
      <c r="H58" s="69" t="s">
        <v>308</v>
      </c>
      <c r="I58" s="68"/>
      <c r="J58" s="68"/>
      <c r="K58" s="69" t="s">
        <v>309</v>
      </c>
    </row>
    <row r="59" spans="1:27" ht="52">
      <c r="A59" s="68" t="s">
        <v>310</v>
      </c>
      <c r="B59" s="69" t="s">
        <v>302</v>
      </c>
      <c r="C59" s="69" t="s">
        <v>303</v>
      </c>
      <c r="D59" s="69" t="s">
        <v>311</v>
      </c>
      <c r="E59" s="69" t="s">
        <v>305</v>
      </c>
      <c r="F59" s="69" t="s">
        <v>306</v>
      </c>
      <c r="G59" s="69" t="s">
        <v>312</v>
      </c>
      <c r="H59" s="69" t="s">
        <v>313</v>
      </c>
      <c r="I59" s="68"/>
      <c r="J59" s="68"/>
      <c r="K59" s="69" t="s">
        <v>314</v>
      </c>
    </row>
    <row r="60" spans="1:27" ht="52">
      <c r="A60" s="68" t="s">
        <v>315</v>
      </c>
      <c r="B60" s="69" t="s">
        <v>302</v>
      </c>
      <c r="C60" s="69" t="s">
        <v>303</v>
      </c>
      <c r="D60" s="69" t="s">
        <v>316</v>
      </c>
      <c r="E60" s="69" t="s">
        <v>317</v>
      </c>
      <c r="F60" s="69" t="s">
        <v>306</v>
      </c>
      <c r="G60" s="69" t="s">
        <v>318</v>
      </c>
      <c r="H60" s="69" t="s">
        <v>319</v>
      </c>
      <c r="I60" s="68"/>
      <c r="J60" s="68"/>
      <c r="K60" s="69" t="s">
        <v>320</v>
      </c>
    </row>
    <row r="61" spans="1:27" ht="52">
      <c r="A61" s="68" t="s">
        <v>321</v>
      </c>
      <c r="B61" s="69" t="s">
        <v>302</v>
      </c>
      <c r="C61" s="69" t="s">
        <v>303</v>
      </c>
      <c r="D61" s="69" t="s">
        <v>322</v>
      </c>
      <c r="E61" s="69" t="s">
        <v>323</v>
      </c>
      <c r="F61" s="69" t="s">
        <v>306</v>
      </c>
      <c r="G61" s="69" t="s">
        <v>312</v>
      </c>
      <c r="H61" s="69" t="s">
        <v>324</v>
      </c>
      <c r="I61" s="68"/>
      <c r="J61" s="68"/>
      <c r="K61" s="69" t="s">
        <v>325</v>
      </c>
    </row>
    <row r="62" spans="1:27" ht="52">
      <c r="A62" s="68" t="s">
        <v>326</v>
      </c>
      <c r="B62" s="69" t="s">
        <v>302</v>
      </c>
      <c r="C62" s="69" t="s">
        <v>303</v>
      </c>
      <c r="D62" s="69" t="s">
        <v>327</v>
      </c>
      <c r="E62" s="69" t="s">
        <v>328</v>
      </c>
      <c r="F62" s="69" t="s">
        <v>306</v>
      </c>
      <c r="G62" s="69" t="s">
        <v>329</v>
      </c>
      <c r="H62" s="69" t="s">
        <v>330</v>
      </c>
      <c r="I62" s="68"/>
      <c r="J62" s="68"/>
      <c r="K62" s="69" t="s">
        <v>331</v>
      </c>
    </row>
    <row r="63" spans="1:27" ht="52">
      <c r="A63" s="68" t="s">
        <v>332</v>
      </c>
      <c r="B63" s="69" t="s">
        <v>302</v>
      </c>
      <c r="C63" s="69" t="s">
        <v>303</v>
      </c>
      <c r="D63" s="69" t="s">
        <v>333</v>
      </c>
      <c r="E63" s="69" t="s">
        <v>328</v>
      </c>
      <c r="F63" s="69" t="s">
        <v>306</v>
      </c>
      <c r="G63" s="69" t="s">
        <v>334</v>
      </c>
      <c r="H63" s="69" t="s">
        <v>335</v>
      </c>
      <c r="I63" s="68"/>
      <c r="J63" s="68"/>
      <c r="K63" s="69" t="s">
        <v>336</v>
      </c>
    </row>
    <row r="64" spans="1:27" ht="52">
      <c r="A64" s="68" t="s">
        <v>337</v>
      </c>
      <c r="B64" s="69" t="s">
        <v>302</v>
      </c>
      <c r="C64" s="69" t="s">
        <v>303</v>
      </c>
      <c r="D64" s="69" t="s">
        <v>338</v>
      </c>
      <c r="E64" s="69" t="s">
        <v>328</v>
      </c>
      <c r="F64" s="69" t="s">
        <v>306</v>
      </c>
      <c r="G64" s="69" t="s">
        <v>339</v>
      </c>
      <c r="H64" s="69" t="s">
        <v>340</v>
      </c>
      <c r="I64" s="68"/>
      <c r="J64" s="68"/>
      <c r="K64" s="69" t="s">
        <v>341</v>
      </c>
    </row>
    <row r="65" spans="1:27" ht="52">
      <c r="A65" s="68" t="s">
        <v>342</v>
      </c>
      <c r="B65" s="69" t="s">
        <v>302</v>
      </c>
      <c r="C65" s="69" t="s">
        <v>303</v>
      </c>
      <c r="D65" s="69" t="s">
        <v>343</v>
      </c>
      <c r="E65" s="69" t="s">
        <v>344</v>
      </c>
      <c r="F65" s="69" t="s">
        <v>306</v>
      </c>
      <c r="G65" s="69" t="s">
        <v>345</v>
      </c>
      <c r="H65" s="69" t="s">
        <v>346</v>
      </c>
      <c r="I65" s="68"/>
      <c r="J65" s="68"/>
      <c r="K65" s="69" t="s">
        <v>347</v>
      </c>
    </row>
    <row r="66" spans="1:27" ht="52">
      <c r="A66" s="68" t="s">
        <v>348</v>
      </c>
      <c r="B66" s="69" t="s">
        <v>302</v>
      </c>
      <c r="C66" s="69" t="s">
        <v>303</v>
      </c>
      <c r="D66" s="69" t="s">
        <v>349</v>
      </c>
      <c r="E66" s="69" t="s">
        <v>350</v>
      </c>
      <c r="F66" s="69" t="s">
        <v>306</v>
      </c>
      <c r="G66" s="69" t="s">
        <v>339</v>
      </c>
      <c r="H66" s="69" t="s">
        <v>351</v>
      </c>
      <c r="I66" s="68"/>
      <c r="J66" s="68"/>
      <c r="K66" s="69" t="s">
        <v>341</v>
      </c>
    </row>
    <row r="67" spans="1:27" ht="52">
      <c r="A67" s="68" t="s">
        <v>352</v>
      </c>
      <c r="B67" s="69" t="s">
        <v>302</v>
      </c>
      <c r="C67" s="69" t="s">
        <v>303</v>
      </c>
      <c r="D67" s="69" t="s">
        <v>353</v>
      </c>
      <c r="E67" s="69" t="s">
        <v>354</v>
      </c>
      <c r="F67" s="69" t="s">
        <v>306</v>
      </c>
      <c r="G67" s="69" t="s">
        <v>355</v>
      </c>
      <c r="H67" s="69" t="s">
        <v>356</v>
      </c>
      <c r="I67" s="68"/>
      <c r="J67" s="68"/>
      <c r="K67" s="69" t="s">
        <v>357</v>
      </c>
    </row>
    <row r="68" spans="1:27">
      <c r="A68" s="77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</row>
    <row r="69" spans="1:27">
      <c r="A69" s="77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</row>
    <row r="70" spans="1:27">
      <c r="A70" s="77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</row>
    <row r="71" spans="1:27">
      <c r="A71" s="77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</row>
    <row r="72" spans="1:27">
      <c r="A72" s="77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</row>
    <row r="73" spans="1:27">
      <c r="A73" s="77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</row>
    <row r="74" spans="1:27">
      <c r="A74" s="77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</row>
    <row r="75" spans="1:27">
      <c r="A75" s="77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</row>
    <row r="76" spans="1:27">
      <c r="A76" s="77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</row>
    <row r="77" spans="1:27">
      <c r="A77" s="77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</row>
    <row r="78" spans="1:27">
      <c r="A78" s="77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</row>
    <row r="79" spans="1:27">
      <c r="A79" s="77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</row>
    <row r="80" spans="1:27">
      <c r="A80" s="77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</row>
    <row r="81" spans="1:27">
      <c r="A81" s="77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</row>
    <row r="82" spans="1:27">
      <c r="A82" s="77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</row>
    <row r="83" spans="1:27">
      <c r="A83" s="77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</row>
    <row r="84" spans="1:27">
      <c r="A84" s="77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</row>
    <row r="85" spans="1:27">
      <c r="A85" s="77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</row>
    <row r="86" spans="1:27">
      <c r="A86" s="77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</row>
    <row r="87" spans="1:27">
      <c r="A87" s="77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</row>
    <row r="88" spans="1:27">
      <c r="A88" s="77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</row>
    <row r="89" spans="1:27">
      <c r="A89" s="77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</row>
    <row r="90" spans="1:27">
      <c r="A90" s="77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</row>
    <row r="91" spans="1:27">
      <c r="A91" s="77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</row>
    <row r="92" spans="1:27">
      <c r="A92" s="77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</row>
    <row r="93" spans="1:27">
      <c r="A93" s="77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</row>
    <row r="94" spans="1:27">
      <c r="A94" s="77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</row>
    <row r="95" spans="1:27">
      <c r="A95" s="77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</row>
    <row r="96" spans="1:27">
      <c r="A96" s="77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</row>
    <row r="97" spans="1:27">
      <c r="A97" s="77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</row>
    <row r="98" spans="1:27">
      <c r="A98" s="77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</row>
    <row r="99" spans="1:27">
      <c r="A99" s="77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</row>
    <row r="100" spans="1:27">
      <c r="A100" s="77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</row>
    <row r="101" spans="1:27">
      <c r="A101" s="77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</row>
    <row r="102" spans="1:27">
      <c r="A102" s="77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</row>
    <row r="103" spans="1:27">
      <c r="A103" s="77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</row>
    <row r="104" spans="1:27">
      <c r="A104" s="77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spans="1:27">
      <c r="A105" s="77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</row>
    <row r="106" spans="1:27">
      <c r="A106" s="77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</row>
    <row r="107" spans="1:27">
      <c r="A107" s="77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</row>
    <row r="108" spans="1:27">
      <c r="A108" s="77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</row>
    <row r="109" spans="1:27">
      <c r="A109" s="77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</row>
    <row r="110" spans="1:27">
      <c r="A110" s="77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</row>
    <row r="111" spans="1:27">
      <c r="A111" s="77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</row>
    <row r="112" spans="1:27">
      <c r="A112" s="77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</row>
    <row r="113" spans="1:27">
      <c r="A113" s="77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</row>
    <row r="114" spans="1:27">
      <c r="A114" s="77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</row>
    <row r="115" spans="1:27">
      <c r="A115" s="77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</row>
    <row r="116" spans="1:27">
      <c r="A116" s="77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</row>
    <row r="117" spans="1:27">
      <c r="A117" s="77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</row>
    <row r="118" spans="1:27">
      <c r="A118" s="77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</row>
    <row r="119" spans="1:27">
      <c r="A119" s="77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</row>
    <row r="120" spans="1:27">
      <c r="A120" s="77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</row>
    <row r="121" spans="1:27">
      <c r="A121" s="77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</row>
    <row r="122" spans="1:27">
      <c r="A122" s="77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</row>
    <row r="123" spans="1:27">
      <c r="A123" s="77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</row>
    <row r="124" spans="1:27">
      <c r="A124" s="77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</row>
    <row r="125" spans="1:27">
      <c r="A125" s="77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</row>
    <row r="126" spans="1:27">
      <c r="A126" s="77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</row>
    <row r="127" spans="1:27">
      <c r="A127" s="77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</row>
    <row r="128" spans="1:27">
      <c r="A128" s="77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</row>
    <row r="129" spans="1:27">
      <c r="A129" s="77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</row>
    <row r="130" spans="1:27">
      <c r="A130" s="77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</row>
    <row r="131" spans="1:27">
      <c r="A131" s="77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</row>
    <row r="132" spans="1:27">
      <c r="A132" s="77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</row>
    <row r="133" spans="1:27">
      <c r="A133" s="77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</row>
    <row r="134" spans="1:27">
      <c r="A134" s="77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</row>
    <row r="135" spans="1:27">
      <c r="A135" s="77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</row>
    <row r="136" spans="1:27">
      <c r="A136" s="77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</row>
    <row r="137" spans="1:27">
      <c r="A137" s="77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</row>
    <row r="138" spans="1:27">
      <c r="A138" s="77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</row>
    <row r="139" spans="1:27">
      <c r="A139" s="77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</row>
    <row r="140" spans="1:27">
      <c r="A140" s="77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</row>
    <row r="141" spans="1:27">
      <c r="A141" s="77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</row>
    <row r="142" spans="1:27">
      <c r="A142" s="77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</row>
    <row r="143" spans="1:27">
      <c r="A143" s="77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</row>
    <row r="144" spans="1:27">
      <c r="A144" s="77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</row>
    <row r="145" spans="1:27">
      <c r="A145" s="77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</row>
    <row r="146" spans="1:27">
      <c r="A146" s="77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</row>
    <row r="147" spans="1:27">
      <c r="A147" s="77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</row>
    <row r="148" spans="1:27">
      <c r="A148" s="77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</row>
    <row r="149" spans="1:27">
      <c r="A149" s="77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</row>
    <row r="150" spans="1:27">
      <c r="A150" s="77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</row>
    <row r="151" spans="1:27">
      <c r="A151" s="77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</row>
    <row r="152" spans="1:27">
      <c r="A152" s="77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</row>
    <row r="153" spans="1:27">
      <c r="A153" s="77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</row>
    <row r="154" spans="1:27">
      <c r="A154" s="77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</row>
    <row r="155" spans="1:27">
      <c r="A155" s="77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</row>
    <row r="156" spans="1:27">
      <c r="A156" s="77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</row>
    <row r="157" spans="1:27">
      <c r="A157" s="77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</row>
    <row r="158" spans="1:27">
      <c r="A158" s="77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</row>
    <row r="159" spans="1:27">
      <c r="A159" s="77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</row>
    <row r="160" spans="1:27">
      <c r="A160" s="77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</row>
    <row r="161" spans="1:27">
      <c r="A161" s="77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</row>
    <row r="162" spans="1:27">
      <c r="A162" s="77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</row>
    <row r="163" spans="1:27">
      <c r="A163" s="77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</row>
    <row r="164" spans="1:27">
      <c r="A164" s="77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</row>
    <row r="165" spans="1:27">
      <c r="A165" s="77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</row>
    <row r="166" spans="1:27">
      <c r="A166" s="77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</row>
    <row r="167" spans="1:27">
      <c r="A167" s="77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</row>
    <row r="168" spans="1:27">
      <c r="A168" s="77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</row>
    <row r="169" spans="1:27">
      <c r="A169" s="77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</row>
    <row r="170" spans="1:27">
      <c r="A170" s="77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</row>
    <row r="171" spans="1:27">
      <c r="A171" s="77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</row>
    <row r="172" spans="1:27">
      <c r="A172" s="77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</row>
    <row r="173" spans="1:27">
      <c r="A173" s="77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</row>
    <row r="174" spans="1:27">
      <c r="A174" s="77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</row>
    <row r="175" spans="1:27">
      <c r="A175" s="77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</row>
    <row r="176" spans="1:27">
      <c r="A176" s="77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</row>
    <row r="177" spans="1:27">
      <c r="A177" s="77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</row>
    <row r="178" spans="1:27">
      <c r="A178" s="77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</row>
    <row r="179" spans="1:27">
      <c r="A179" s="77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</row>
    <row r="180" spans="1:27">
      <c r="A180" s="77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</row>
    <row r="181" spans="1:27">
      <c r="A181" s="77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</row>
    <row r="182" spans="1:27">
      <c r="A182" s="77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</row>
    <row r="183" spans="1:27">
      <c r="A183" s="77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</row>
    <row r="184" spans="1:27">
      <c r="A184" s="77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</row>
    <row r="185" spans="1:27">
      <c r="A185" s="77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</row>
    <row r="186" spans="1:27">
      <c r="A186" s="77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</row>
    <row r="187" spans="1:27">
      <c r="A187" s="77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</row>
    <row r="188" spans="1:27">
      <c r="A188" s="77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</row>
    <row r="189" spans="1:27">
      <c r="A189" s="77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</row>
    <row r="190" spans="1:27">
      <c r="A190" s="77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</row>
    <row r="191" spans="1:27">
      <c r="A191" s="77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</row>
    <row r="192" spans="1:27">
      <c r="A192" s="77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</row>
    <row r="193" spans="1:27">
      <c r="A193" s="77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</row>
    <row r="194" spans="1:27">
      <c r="A194" s="77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</row>
    <row r="195" spans="1:27">
      <c r="A195" s="77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</row>
    <row r="196" spans="1:27">
      <c r="A196" s="77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</row>
    <row r="197" spans="1:27">
      <c r="A197" s="77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</row>
    <row r="198" spans="1:27">
      <c r="A198" s="77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</row>
    <row r="199" spans="1:27">
      <c r="A199" s="77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</row>
    <row r="200" spans="1:27">
      <c r="A200" s="77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</row>
    <row r="201" spans="1:27">
      <c r="A201" s="77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</row>
    <row r="202" spans="1:27">
      <c r="A202" s="77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</row>
    <row r="203" spans="1:27">
      <c r="A203" s="77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</row>
    <row r="204" spans="1:27">
      <c r="A204" s="77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</row>
    <row r="205" spans="1:27">
      <c r="A205" s="77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</row>
    <row r="206" spans="1:27">
      <c r="A206" s="77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</row>
    <row r="207" spans="1:27">
      <c r="A207" s="77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</row>
    <row r="208" spans="1:27">
      <c r="A208" s="77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</row>
    <row r="209" spans="1:27">
      <c r="A209" s="77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</row>
    <row r="210" spans="1:27">
      <c r="A210" s="77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</row>
    <row r="211" spans="1:27">
      <c r="A211" s="77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</row>
    <row r="212" spans="1:27">
      <c r="A212" s="77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</row>
    <row r="213" spans="1:27">
      <c r="A213" s="77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</row>
    <row r="214" spans="1:27">
      <c r="A214" s="77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</row>
    <row r="215" spans="1:27">
      <c r="A215" s="77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</row>
    <row r="216" spans="1:27">
      <c r="A216" s="77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</row>
    <row r="217" spans="1:27">
      <c r="A217" s="77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</row>
    <row r="218" spans="1:27">
      <c r="A218" s="77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</row>
    <row r="219" spans="1:27">
      <c r="A219" s="77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</row>
    <row r="220" spans="1:27">
      <c r="A220" s="77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</row>
    <row r="221" spans="1:27">
      <c r="A221" s="77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</row>
    <row r="222" spans="1:27">
      <c r="A222" s="77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</row>
    <row r="223" spans="1:27">
      <c r="A223" s="77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</row>
    <row r="224" spans="1:27">
      <c r="A224" s="77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</row>
    <row r="225" spans="1:27">
      <c r="A225" s="77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</row>
    <row r="226" spans="1:27">
      <c r="A226" s="77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</row>
    <row r="227" spans="1:27">
      <c r="A227" s="77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</row>
    <row r="228" spans="1:27">
      <c r="A228" s="77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</row>
    <row r="229" spans="1:27">
      <c r="A229" s="77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</row>
    <row r="230" spans="1:27">
      <c r="A230" s="77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</row>
    <row r="231" spans="1:27">
      <c r="A231" s="77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</row>
    <row r="232" spans="1:27">
      <c r="A232" s="77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</row>
    <row r="233" spans="1:27">
      <c r="A233" s="77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</row>
    <row r="234" spans="1:27">
      <c r="A234" s="77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</row>
    <row r="235" spans="1:27">
      <c r="A235" s="77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</row>
    <row r="236" spans="1:27">
      <c r="A236" s="77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</row>
    <row r="237" spans="1:27">
      <c r="A237" s="77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</row>
    <row r="238" spans="1:27">
      <c r="A238" s="77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</row>
    <row r="239" spans="1:27">
      <c r="A239" s="77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</row>
    <row r="240" spans="1:27">
      <c r="A240" s="77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</row>
    <row r="241" spans="1:27">
      <c r="A241" s="77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</row>
    <row r="242" spans="1:27">
      <c r="A242" s="77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</row>
    <row r="243" spans="1:27">
      <c r="A243" s="77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</row>
    <row r="244" spans="1:27">
      <c r="A244" s="77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</row>
    <row r="245" spans="1:27">
      <c r="A245" s="77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</row>
    <row r="246" spans="1:27">
      <c r="A246" s="77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</row>
    <row r="247" spans="1:27">
      <c r="A247" s="77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</row>
    <row r="248" spans="1:27">
      <c r="A248" s="77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</row>
    <row r="249" spans="1:27">
      <c r="A249" s="77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</row>
    <row r="250" spans="1:27">
      <c r="A250" s="77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</row>
    <row r="251" spans="1:27">
      <c r="A251" s="77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</row>
    <row r="252" spans="1:27">
      <c r="A252" s="77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</row>
    <row r="253" spans="1:27">
      <c r="A253" s="77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</row>
    <row r="254" spans="1:27">
      <c r="A254" s="77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</row>
    <row r="255" spans="1:27">
      <c r="A255" s="77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</row>
    <row r="256" spans="1:27">
      <c r="A256" s="77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</row>
    <row r="257" spans="1:27">
      <c r="A257" s="77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</row>
    <row r="258" spans="1:27">
      <c r="A258" s="77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</row>
    <row r="259" spans="1:27">
      <c r="A259" s="77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</row>
    <row r="260" spans="1:27">
      <c r="A260" s="77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</row>
    <row r="261" spans="1:27">
      <c r="A261" s="77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</row>
    <row r="262" spans="1:27">
      <c r="A262" s="77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</row>
    <row r="263" spans="1:27">
      <c r="A263" s="77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</row>
    <row r="264" spans="1:27">
      <c r="A264" s="77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</row>
    <row r="265" spans="1:27">
      <c r="A265" s="77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</row>
    <row r="266" spans="1:27">
      <c r="A266" s="77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</row>
    <row r="267" spans="1:27">
      <c r="A267" s="77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</row>
    <row r="268" spans="1:27">
      <c r="A268" s="77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</row>
    <row r="269" spans="1:27">
      <c r="A269" s="77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</row>
    <row r="270" spans="1:27">
      <c r="A270" s="77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</row>
    <row r="271" spans="1:27">
      <c r="A271" s="77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</row>
    <row r="272" spans="1:27">
      <c r="A272" s="77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</row>
    <row r="273" spans="1:27">
      <c r="A273" s="77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</row>
    <row r="274" spans="1:27">
      <c r="A274" s="77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</row>
    <row r="275" spans="1:27">
      <c r="A275" s="77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</row>
    <row r="276" spans="1:27">
      <c r="A276" s="77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</row>
    <row r="277" spans="1:27">
      <c r="A277" s="77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</row>
    <row r="278" spans="1:27">
      <c r="A278" s="77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</row>
    <row r="279" spans="1:27">
      <c r="A279" s="77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</row>
    <row r="280" spans="1:27">
      <c r="A280" s="77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</row>
    <row r="281" spans="1:27">
      <c r="A281" s="77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</row>
    <row r="282" spans="1:27">
      <c r="A282" s="77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</row>
    <row r="283" spans="1:27">
      <c r="A283" s="77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</row>
    <row r="284" spans="1:27">
      <c r="A284" s="77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</row>
    <row r="285" spans="1:27">
      <c r="A285" s="77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</row>
    <row r="286" spans="1:27">
      <c r="A286" s="77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</row>
    <row r="287" spans="1:27">
      <c r="A287" s="77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</row>
    <row r="288" spans="1:27">
      <c r="A288" s="77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</row>
    <row r="289" spans="1:27">
      <c r="A289" s="77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</row>
    <row r="290" spans="1:27">
      <c r="A290" s="77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</row>
    <row r="291" spans="1:27">
      <c r="A291" s="77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</row>
    <row r="292" spans="1:27">
      <c r="A292" s="77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</row>
    <row r="293" spans="1:27">
      <c r="A293" s="77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</row>
    <row r="294" spans="1:27">
      <c r="A294" s="77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</row>
    <row r="295" spans="1:27">
      <c r="A295" s="77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</row>
    <row r="296" spans="1:27">
      <c r="A296" s="77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</row>
    <row r="297" spans="1:27">
      <c r="A297" s="77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</row>
    <row r="298" spans="1:27">
      <c r="A298" s="77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</row>
    <row r="299" spans="1:27">
      <c r="A299" s="77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</row>
    <row r="300" spans="1:27">
      <c r="A300" s="77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</row>
    <row r="301" spans="1:27">
      <c r="A301" s="77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</row>
    <row r="302" spans="1:27">
      <c r="A302" s="77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</row>
    <row r="303" spans="1:27">
      <c r="A303" s="77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</row>
    <row r="304" spans="1:27">
      <c r="A304" s="77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</row>
    <row r="305" spans="1:27">
      <c r="A305" s="77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</row>
    <row r="306" spans="1:27">
      <c r="A306" s="77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</row>
    <row r="307" spans="1:27">
      <c r="A307" s="77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</row>
    <row r="308" spans="1:27">
      <c r="A308" s="77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</row>
    <row r="309" spans="1:27">
      <c r="A309" s="77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</row>
    <row r="310" spans="1:27">
      <c r="A310" s="77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</row>
    <row r="311" spans="1:27">
      <c r="A311" s="77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</row>
    <row r="312" spans="1:27">
      <c r="A312" s="77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</row>
    <row r="313" spans="1:27">
      <c r="A313" s="77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</row>
    <row r="314" spans="1:27">
      <c r="A314" s="77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</row>
    <row r="315" spans="1:27">
      <c r="A315" s="77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</row>
    <row r="316" spans="1:27">
      <c r="A316" s="77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</row>
    <row r="317" spans="1:27">
      <c r="A317" s="77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</row>
    <row r="318" spans="1:27">
      <c r="A318" s="77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</row>
    <row r="319" spans="1:27">
      <c r="A319" s="77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</row>
    <row r="320" spans="1:27">
      <c r="A320" s="77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</row>
    <row r="321" spans="1:27">
      <c r="A321" s="77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</row>
    <row r="322" spans="1:27">
      <c r="A322" s="77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</row>
    <row r="323" spans="1:27">
      <c r="A323" s="77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</row>
    <row r="324" spans="1:27">
      <c r="A324" s="77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</row>
    <row r="325" spans="1:27">
      <c r="A325" s="77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</row>
    <row r="326" spans="1:27">
      <c r="A326" s="77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</row>
    <row r="327" spans="1:27">
      <c r="A327" s="77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</row>
    <row r="328" spans="1:27">
      <c r="A328" s="77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</row>
    <row r="329" spans="1:27">
      <c r="A329" s="77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</row>
    <row r="330" spans="1:27">
      <c r="A330" s="77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</row>
    <row r="331" spans="1:27">
      <c r="A331" s="77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</row>
    <row r="332" spans="1:27">
      <c r="A332" s="77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</row>
    <row r="333" spans="1:27">
      <c r="A333" s="77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</row>
    <row r="334" spans="1:27">
      <c r="A334" s="77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</row>
    <row r="335" spans="1:27">
      <c r="A335" s="77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</row>
    <row r="336" spans="1:27">
      <c r="A336" s="77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</row>
    <row r="337" spans="1:27">
      <c r="A337" s="77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</row>
    <row r="338" spans="1:27">
      <c r="A338" s="77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</row>
    <row r="339" spans="1:27">
      <c r="A339" s="77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</row>
    <row r="340" spans="1:27">
      <c r="A340" s="77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</row>
    <row r="341" spans="1:27">
      <c r="A341" s="77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</row>
    <row r="342" spans="1:27">
      <c r="A342" s="77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</row>
    <row r="343" spans="1:27">
      <c r="A343" s="77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</row>
    <row r="344" spans="1:27">
      <c r="A344" s="77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</row>
    <row r="345" spans="1:27">
      <c r="A345" s="77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</row>
    <row r="346" spans="1:27">
      <c r="A346" s="77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</row>
    <row r="347" spans="1:27">
      <c r="A347" s="77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</row>
    <row r="348" spans="1:27">
      <c r="A348" s="77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</row>
    <row r="349" spans="1:27">
      <c r="A349" s="77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</row>
    <row r="350" spans="1:27">
      <c r="A350" s="77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</row>
    <row r="351" spans="1:27">
      <c r="A351" s="77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</row>
    <row r="352" spans="1:27">
      <c r="A352" s="77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</row>
    <row r="353" spans="1:27">
      <c r="A353" s="77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</row>
    <row r="354" spans="1:27">
      <c r="A354" s="77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</row>
    <row r="355" spans="1:27">
      <c r="A355" s="77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</row>
    <row r="356" spans="1:27">
      <c r="A356" s="77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</row>
    <row r="357" spans="1:27">
      <c r="A357" s="77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</row>
    <row r="358" spans="1:27">
      <c r="A358" s="77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</row>
    <row r="359" spans="1:27">
      <c r="A359" s="77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</row>
    <row r="360" spans="1:27">
      <c r="A360" s="77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</row>
    <row r="361" spans="1:27">
      <c r="A361" s="77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</row>
    <row r="362" spans="1:27">
      <c r="A362" s="77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</row>
    <row r="363" spans="1:27">
      <c r="A363" s="77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</row>
    <row r="364" spans="1:27">
      <c r="A364" s="77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</row>
    <row r="365" spans="1:27">
      <c r="A365" s="77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</row>
    <row r="366" spans="1:27">
      <c r="A366" s="77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</row>
    <row r="367" spans="1:27">
      <c r="A367" s="77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</row>
    <row r="368" spans="1:27">
      <c r="A368" s="77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</row>
    <row r="369" spans="1:27">
      <c r="A369" s="77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</row>
    <row r="370" spans="1:27">
      <c r="A370" s="77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</row>
    <row r="371" spans="1:27">
      <c r="A371" s="77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</row>
    <row r="372" spans="1:27">
      <c r="A372" s="77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</row>
    <row r="373" spans="1:27">
      <c r="A373" s="77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</row>
    <row r="374" spans="1:27">
      <c r="A374" s="77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</row>
    <row r="375" spans="1:27">
      <c r="A375" s="77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</row>
    <row r="376" spans="1:27">
      <c r="A376" s="77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</row>
    <row r="377" spans="1:27">
      <c r="A377" s="77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</row>
    <row r="378" spans="1:27">
      <c r="A378" s="77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</row>
    <row r="379" spans="1:27">
      <c r="A379" s="77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</row>
    <row r="380" spans="1:27">
      <c r="A380" s="77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</row>
    <row r="381" spans="1:27">
      <c r="A381" s="77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</row>
    <row r="382" spans="1:27">
      <c r="A382" s="77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</row>
    <row r="383" spans="1:27">
      <c r="A383" s="77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</row>
    <row r="384" spans="1:27">
      <c r="A384" s="77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</row>
    <row r="385" spans="1:27">
      <c r="A385" s="77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</row>
    <row r="386" spans="1:27">
      <c r="A386" s="77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</row>
    <row r="387" spans="1:27">
      <c r="A387" s="77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</row>
    <row r="388" spans="1:27">
      <c r="A388" s="77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</row>
    <row r="389" spans="1:27">
      <c r="A389" s="77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</row>
    <row r="390" spans="1:27">
      <c r="A390" s="77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</row>
    <row r="391" spans="1:27">
      <c r="A391" s="77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</row>
    <row r="392" spans="1:27">
      <c r="A392" s="77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</row>
    <row r="393" spans="1:27">
      <c r="A393" s="77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</row>
    <row r="394" spans="1:27">
      <c r="A394" s="77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</row>
    <row r="395" spans="1:27">
      <c r="A395" s="77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</row>
    <row r="396" spans="1:27">
      <c r="A396" s="77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</row>
    <row r="397" spans="1:27">
      <c r="A397" s="77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</row>
    <row r="398" spans="1:27">
      <c r="A398" s="77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</row>
    <row r="399" spans="1:27">
      <c r="A399" s="77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</row>
    <row r="400" spans="1:27">
      <c r="A400" s="77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</row>
    <row r="401" spans="1:27">
      <c r="A401" s="77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</row>
    <row r="402" spans="1:27">
      <c r="A402" s="77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</row>
    <row r="403" spans="1:27">
      <c r="A403" s="77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</row>
    <row r="404" spans="1:27">
      <c r="A404" s="77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</row>
    <row r="405" spans="1:27">
      <c r="A405" s="77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</row>
    <row r="406" spans="1:27">
      <c r="A406" s="77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</row>
    <row r="407" spans="1:27">
      <c r="A407" s="77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</row>
    <row r="408" spans="1:27">
      <c r="A408" s="77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</row>
    <row r="409" spans="1:27">
      <c r="A409" s="77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</row>
    <row r="410" spans="1:27">
      <c r="A410" s="77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</row>
    <row r="411" spans="1:27">
      <c r="A411" s="77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</row>
    <row r="412" spans="1:27">
      <c r="A412" s="77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</row>
    <row r="413" spans="1:27">
      <c r="A413" s="77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</row>
    <row r="414" spans="1:27">
      <c r="A414" s="77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</row>
    <row r="415" spans="1:27">
      <c r="A415" s="77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</row>
    <row r="416" spans="1:27">
      <c r="A416" s="77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</row>
    <row r="417" spans="1:27">
      <c r="A417" s="77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</row>
    <row r="418" spans="1:27">
      <c r="A418" s="77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</row>
    <row r="419" spans="1:27">
      <c r="A419" s="77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</row>
    <row r="420" spans="1:27">
      <c r="A420" s="77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</row>
    <row r="421" spans="1:27">
      <c r="A421" s="77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</row>
    <row r="422" spans="1:27">
      <c r="A422" s="77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</row>
    <row r="423" spans="1:27">
      <c r="A423" s="77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</row>
    <row r="424" spans="1:27">
      <c r="A424" s="77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</row>
    <row r="425" spans="1:27">
      <c r="A425" s="77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</row>
    <row r="426" spans="1:27">
      <c r="A426" s="77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</row>
    <row r="427" spans="1:27">
      <c r="A427" s="77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</row>
    <row r="428" spans="1:27">
      <c r="A428" s="77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</row>
    <row r="429" spans="1:27">
      <c r="A429" s="77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</row>
    <row r="430" spans="1:27">
      <c r="A430" s="77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</row>
    <row r="431" spans="1:27">
      <c r="A431" s="77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</row>
    <row r="432" spans="1:27">
      <c r="A432" s="77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</row>
    <row r="433" spans="1:27">
      <c r="A433" s="77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</row>
    <row r="434" spans="1:27">
      <c r="A434" s="77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</row>
    <row r="435" spans="1:27">
      <c r="A435" s="77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</row>
    <row r="436" spans="1:27">
      <c r="A436" s="77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</row>
    <row r="437" spans="1:27">
      <c r="A437" s="77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</row>
    <row r="438" spans="1:27">
      <c r="A438" s="77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</row>
    <row r="439" spans="1:27">
      <c r="A439" s="77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</row>
    <row r="440" spans="1:27">
      <c r="A440" s="77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</row>
    <row r="441" spans="1:27">
      <c r="A441" s="77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</row>
    <row r="442" spans="1:27">
      <c r="A442" s="77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</row>
    <row r="443" spans="1:27">
      <c r="A443" s="77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</row>
    <row r="444" spans="1:27">
      <c r="A444" s="77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</row>
    <row r="445" spans="1:27">
      <c r="A445" s="77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</row>
    <row r="446" spans="1:27">
      <c r="A446" s="77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</row>
    <row r="447" spans="1:27">
      <c r="A447" s="77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</row>
    <row r="448" spans="1:27">
      <c r="A448" s="77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</row>
    <row r="449" spans="1:27">
      <c r="A449" s="77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</row>
    <row r="450" spans="1:27">
      <c r="A450" s="77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</row>
    <row r="451" spans="1:27">
      <c r="A451" s="77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</row>
    <row r="452" spans="1:27">
      <c r="A452" s="77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</row>
    <row r="453" spans="1:27">
      <c r="A453" s="77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</row>
    <row r="454" spans="1:27">
      <c r="A454" s="77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</row>
    <row r="455" spans="1:27">
      <c r="A455" s="77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</row>
    <row r="456" spans="1:27">
      <c r="A456" s="77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</row>
    <row r="457" spans="1:27">
      <c r="A457" s="77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</row>
    <row r="458" spans="1:27">
      <c r="A458" s="77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</row>
    <row r="459" spans="1:27">
      <c r="A459" s="77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</row>
    <row r="460" spans="1:27">
      <c r="A460" s="77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</row>
    <row r="461" spans="1:27">
      <c r="A461" s="77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</row>
    <row r="462" spans="1:27">
      <c r="A462" s="77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</row>
    <row r="463" spans="1:27">
      <c r="A463" s="77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</row>
    <row r="464" spans="1:27">
      <c r="A464" s="77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</row>
    <row r="465" spans="1:27">
      <c r="A465" s="77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</row>
    <row r="466" spans="1:27">
      <c r="A466" s="77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</row>
    <row r="467" spans="1:27">
      <c r="A467" s="77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</row>
    <row r="468" spans="1:27">
      <c r="A468" s="77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</row>
    <row r="469" spans="1:27">
      <c r="A469" s="77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</row>
    <row r="470" spans="1:27">
      <c r="A470" s="77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</row>
    <row r="471" spans="1:27">
      <c r="A471" s="77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</row>
    <row r="472" spans="1:27">
      <c r="A472" s="77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</row>
    <row r="473" spans="1:27">
      <c r="A473" s="77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</row>
    <row r="474" spans="1:27">
      <c r="A474" s="77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</row>
    <row r="475" spans="1:27">
      <c r="A475" s="77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</row>
    <row r="476" spans="1:27">
      <c r="A476" s="77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</row>
    <row r="477" spans="1:27">
      <c r="A477" s="77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</row>
    <row r="478" spans="1:27">
      <c r="A478" s="77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</row>
    <row r="479" spans="1:27">
      <c r="A479" s="77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</row>
    <row r="480" spans="1:27">
      <c r="A480" s="77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</row>
    <row r="481" spans="1:27">
      <c r="A481" s="77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</row>
    <row r="482" spans="1:27">
      <c r="A482" s="77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</row>
    <row r="483" spans="1:27">
      <c r="A483" s="77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</row>
    <row r="484" spans="1:27">
      <c r="A484" s="77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</row>
    <row r="485" spans="1:27">
      <c r="A485" s="77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</row>
    <row r="486" spans="1:27">
      <c r="A486" s="77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</row>
    <row r="487" spans="1:27">
      <c r="A487" s="77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</row>
    <row r="488" spans="1:27">
      <c r="A488" s="77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</row>
    <row r="489" spans="1:27">
      <c r="A489" s="77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</row>
    <row r="490" spans="1:27">
      <c r="A490" s="77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</row>
    <row r="491" spans="1:27">
      <c r="A491" s="77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</row>
    <row r="492" spans="1:27">
      <c r="A492" s="77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</row>
    <row r="493" spans="1:27">
      <c r="A493" s="77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</row>
    <row r="494" spans="1:27">
      <c r="A494" s="77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</row>
    <row r="495" spans="1:27">
      <c r="A495" s="77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</row>
    <row r="496" spans="1:27">
      <c r="A496" s="77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</row>
    <row r="497" spans="1:27">
      <c r="A497" s="77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</row>
    <row r="498" spans="1:27">
      <c r="A498" s="77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</row>
    <row r="499" spans="1:27">
      <c r="A499" s="77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</row>
    <row r="500" spans="1:27">
      <c r="A500" s="77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</row>
    <row r="501" spans="1:27">
      <c r="A501" s="77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</row>
    <row r="502" spans="1:27">
      <c r="A502" s="77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</row>
    <row r="503" spans="1:27">
      <c r="A503" s="77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</row>
    <row r="504" spans="1:27">
      <c r="A504" s="77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</row>
    <row r="505" spans="1:27">
      <c r="A505" s="77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</row>
    <row r="506" spans="1:27">
      <c r="A506" s="77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</row>
    <row r="507" spans="1:27">
      <c r="A507" s="77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</row>
    <row r="508" spans="1:27">
      <c r="A508" s="77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</row>
    <row r="509" spans="1:27">
      <c r="A509" s="77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</row>
    <row r="510" spans="1:27">
      <c r="A510" s="77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</row>
    <row r="511" spans="1:27">
      <c r="A511" s="77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</row>
    <row r="512" spans="1:27">
      <c r="A512" s="77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</row>
    <row r="513" spans="1:27">
      <c r="A513" s="77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</row>
    <row r="514" spans="1:27">
      <c r="A514" s="77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</row>
    <row r="515" spans="1:27">
      <c r="A515" s="77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</row>
    <row r="516" spans="1:27">
      <c r="A516" s="77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</row>
    <row r="517" spans="1:27">
      <c r="A517" s="77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</row>
    <row r="518" spans="1:27">
      <c r="A518" s="77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</row>
    <row r="519" spans="1:27">
      <c r="A519" s="77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</row>
    <row r="520" spans="1:27">
      <c r="A520" s="77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</row>
    <row r="521" spans="1:27">
      <c r="A521" s="77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</row>
    <row r="522" spans="1:27">
      <c r="A522" s="77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</row>
    <row r="523" spans="1:27">
      <c r="A523" s="77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</row>
    <row r="524" spans="1:27">
      <c r="A524" s="77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</row>
    <row r="525" spans="1:27">
      <c r="A525" s="77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</row>
    <row r="526" spans="1:27">
      <c r="A526" s="77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</row>
    <row r="527" spans="1:27">
      <c r="A527" s="77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</row>
    <row r="528" spans="1:27">
      <c r="A528" s="77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</row>
    <row r="529" spans="1:27">
      <c r="A529" s="77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</row>
    <row r="530" spans="1:27">
      <c r="A530" s="77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</row>
    <row r="531" spans="1:27">
      <c r="A531" s="77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</row>
    <row r="532" spans="1:27">
      <c r="A532" s="77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</row>
    <row r="533" spans="1:27">
      <c r="A533" s="77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</row>
    <row r="534" spans="1:27">
      <c r="A534" s="77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</row>
    <row r="535" spans="1:27">
      <c r="A535" s="77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</row>
    <row r="536" spans="1:27">
      <c r="A536" s="77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</row>
    <row r="537" spans="1:27">
      <c r="A537" s="77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</row>
    <row r="538" spans="1:27">
      <c r="A538" s="77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</row>
    <row r="539" spans="1:27">
      <c r="A539" s="77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</row>
    <row r="540" spans="1:27">
      <c r="A540" s="77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</row>
    <row r="541" spans="1:27">
      <c r="A541" s="77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</row>
    <row r="542" spans="1:27">
      <c r="A542" s="77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</row>
    <row r="543" spans="1:27">
      <c r="A543" s="77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</row>
    <row r="544" spans="1:27">
      <c r="A544" s="77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</row>
    <row r="545" spans="1:27">
      <c r="A545" s="77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</row>
    <row r="546" spans="1:27">
      <c r="A546" s="77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</row>
    <row r="547" spans="1:27">
      <c r="A547" s="77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</row>
    <row r="548" spans="1:27">
      <c r="A548" s="77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</row>
    <row r="549" spans="1:27">
      <c r="A549" s="77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</row>
    <row r="550" spans="1:27">
      <c r="A550" s="77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</row>
    <row r="551" spans="1:27">
      <c r="A551" s="77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</row>
    <row r="552" spans="1:27">
      <c r="A552" s="77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</row>
    <row r="553" spans="1:27">
      <c r="A553" s="77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</row>
    <row r="554" spans="1:27">
      <c r="A554" s="77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</row>
    <row r="555" spans="1:27">
      <c r="A555" s="77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</row>
    <row r="556" spans="1:27">
      <c r="A556" s="77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</row>
    <row r="557" spans="1:27">
      <c r="A557" s="77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</row>
    <row r="558" spans="1:27">
      <c r="A558" s="77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</row>
    <row r="559" spans="1:27">
      <c r="A559" s="77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</row>
    <row r="560" spans="1:27">
      <c r="A560" s="77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</row>
    <row r="561" spans="1:27">
      <c r="A561" s="77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</row>
    <row r="562" spans="1:27">
      <c r="A562" s="77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</row>
    <row r="563" spans="1:27">
      <c r="A563" s="77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</row>
    <row r="564" spans="1:27">
      <c r="A564" s="77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</row>
    <row r="565" spans="1:27">
      <c r="A565" s="77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</row>
    <row r="566" spans="1:27">
      <c r="A566" s="77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</row>
    <row r="567" spans="1:27">
      <c r="A567" s="77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</row>
    <row r="568" spans="1:27">
      <c r="A568" s="77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</row>
    <row r="569" spans="1:27">
      <c r="A569" s="77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</row>
    <row r="570" spans="1:27">
      <c r="A570" s="77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</row>
    <row r="571" spans="1:27">
      <c r="A571" s="77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</row>
    <row r="572" spans="1:27">
      <c r="A572" s="77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</row>
    <row r="573" spans="1:27">
      <c r="A573" s="77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</row>
    <row r="574" spans="1:27">
      <c r="A574" s="77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</row>
    <row r="575" spans="1:27">
      <c r="A575" s="77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</row>
    <row r="576" spans="1:27">
      <c r="A576" s="77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</row>
    <row r="577" spans="1:27">
      <c r="A577" s="77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</row>
    <row r="578" spans="1:27">
      <c r="A578" s="77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</row>
    <row r="579" spans="1:27">
      <c r="A579" s="77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</row>
    <row r="580" spans="1:27">
      <c r="A580" s="77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</row>
    <row r="581" spans="1:27">
      <c r="A581" s="77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</row>
    <row r="582" spans="1:27">
      <c r="A582" s="77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</row>
    <row r="583" spans="1:27">
      <c r="A583" s="77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</row>
    <row r="584" spans="1:27">
      <c r="A584" s="77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</row>
    <row r="585" spans="1:27">
      <c r="A585" s="77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</row>
    <row r="586" spans="1:27">
      <c r="A586" s="77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</row>
    <row r="587" spans="1:27">
      <c r="A587" s="77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</row>
    <row r="588" spans="1:27">
      <c r="A588" s="77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</row>
    <row r="589" spans="1:27">
      <c r="A589" s="77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</row>
    <row r="590" spans="1:27">
      <c r="A590" s="77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</row>
    <row r="591" spans="1:27">
      <c r="A591" s="77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</row>
    <row r="592" spans="1:27">
      <c r="A592" s="77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</row>
    <row r="593" spans="1:27">
      <c r="A593" s="77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</row>
    <row r="594" spans="1:27">
      <c r="A594" s="77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</row>
    <row r="595" spans="1:27">
      <c r="A595" s="77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</row>
    <row r="596" spans="1:27">
      <c r="A596" s="77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</row>
    <row r="597" spans="1:27">
      <c r="A597" s="77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</row>
    <row r="598" spans="1:27">
      <c r="A598" s="77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</row>
    <row r="599" spans="1:27">
      <c r="A599" s="77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</row>
    <row r="600" spans="1:27">
      <c r="A600" s="77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</row>
    <row r="601" spans="1:27">
      <c r="A601" s="77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</row>
    <row r="602" spans="1:27">
      <c r="A602" s="77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</row>
    <row r="603" spans="1:27">
      <c r="A603" s="77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</row>
    <row r="604" spans="1:27">
      <c r="A604" s="77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</row>
    <row r="605" spans="1:27">
      <c r="A605" s="77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</row>
    <row r="606" spans="1:27">
      <c r="A606" s="77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</row>
    <row r="607" spans="1:27">
      <c r="A607" s="77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</row>
    <row r="608" spans="1:27">
      <c r="A608" s="77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</row>
    <row r="609" spans="1:27">
      <c r="A609" s="77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</row>
    <row r="610" spans="1:27">
      <c r="A610" s="77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</row>
    <row r="611" spans="1:27">
      <c r="A611" s="77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</row>
    <row r="612" spans="1:27">
      <c r="A612" s="77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</row>
    <row r="613" spans="1:27">
      <c r="A613" s="77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</row>
    <row r="614" spans="1:27">
      <c r="A614" s="77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</row>
    <row r="615" spans="1:27">
      <c r="A615" s="77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</row>
    <row r="616" spans="1:27">
      <c r="A616" s="77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</row>
    <row r="617" spans="1:27">
      <c r="A617" s="77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</row>
    <row r="618" spans="1:27">
      <c r="A618" s="77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</row>
    <row r="619" spans="1:27">
      <c r="A619" s="77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</row>
    <row r="620" spans="1:27">
      <c r="A620" s="77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</row>
    <row r="621" spans="1:27">
      <c r="A621" s="77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</row>
    <row r="622" spans="1:27">
      <c r="A622" s="77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</row>
    <row r="623" spans="1:27">
      <c r="A623" s="77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</row>
    <row r="624" spans="1:27">
      <c r="A624" s="77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</row>
    <row r="625" spans="1:27">
      <c r="A625" s="77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</row>
    <row r="626" spans="1:27">
      <c r="A626" s="77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</row>
    <row r="627" spans="1:27">
      <c r="A627" s="77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</row>
    <row r="628" spans="1:27">
      <c r="A628" s="77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</row>
    <row r="629" spans="1:27">
      <c r="A629" s="77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</row>
    <row r="630" spans="1:27">
      <c r="A630" s="77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</row>
    <row r="631" spans="1:27">
      <c r="A631" s="77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</row>
    <row r="632" spans="1:27">
      <c r="A632" s="77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</row>
    <row r="633" spans="1:27">
      <c r="A633" s="77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</row>
    <row r="634" spans="1:27">
      <c r="A634" s="77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</row>
    <row r="635" spans="1:27">
      <c r="A635" s="77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</row>
    <row r="636" spans="1:27">
      <c r="A636" s="77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</row>
    <row r="637" spans="1:27">
      <c r="A637" s="77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</row>
    <row r="638" spans="1:27">
      <c r="A638" s="77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</row>
    <row r="639" spans="1:27">
      <c r="A639" s="77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</row>
    <row r="640" spans="1:27">
      <c r="A640" s="77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</row>
    <row r="641" spans="1:27">
      <c r="A641" s="77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</row>
    <row r="642" spans="1:27">
      <c r="A642" s="77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</row>
    <row r="643" spans="1:27">
      <c r="A643" s="77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</row>
    <row r="644" spans="1:27">
      <c r="A644" s="77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</row>
    <row r="645" spans="1:27">
      <c r="A645" s="77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</row>
    <row r="646" spans="1:27">
      <c r="A646" s="77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</row>
    <row r="647" spans="1:27">
      <c r="A647" s="77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</row>
    <row r="648" spans="1:27">
      <c r="A648" s="77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</row>
    <row r="649" spans="1:27">
      <c r="A649" s="77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</row>
    <row r="650" spans="1:27">
      <c r="A650" s="77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</row>
    <row r="651" spans="1:27">
      <c r="A651" s="77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</row>
    <row r="652" spans="1:27">
      <c r="A652" s="77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</row>
    <row r="653" spans="1:27">
      <c r="A653" s="77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</row>
    <row r="654" spans="1:27">
      <c r="A654" s="77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</row>
    <row r="655" spans="1:27">
      <c r="A655" s="77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</row>
    <row r="656" spans="1:27">
      <c r="A656" s="77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</row>
    <row r="657" spans="1:27">
      <c r="A657" s="77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</row>
    <row r="658" spans="1:27">
      <c r="A658" s="77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</row>
    <row r="659" spans="1:27">
      <c r="A659" s="77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</row>
    <row r="660" spans="1:27">
      <c r="A660" s="77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</row>
    <row r="661" spans="1:27">
      <c r="A661" s="77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</row>
    <row r="662" spans="1:27">
      <c r="A662" s="77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</row>
    <row r="663" spans="1:27">
      <c r="A663" s="77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</row>
    <row r="664" spans="1:27">
      <c r="A664" s="77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</row>
    <row r="665" spans="1:27">
      <c r="A665" s="77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</row>
    <row r="666" spans="1:27">
      <c r="A666" s="77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</row>
    <row r="667" spans="1:27">
      <c r="A667" s="77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</row>
    <row r="668" spans="1:27">
      <c r="A668" s="77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</row>
    <row r="669" spans="1:27">
      <c r="A669" s="77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</row>
    <row r="670" spans="1:27">
      <c r="A670" s="77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</row>
    <row r="671" spans="1:27">
      <c r="A671" s="77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</row>
    <row r="672" spans="1:27">
      <c r="A672" s="77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</row>
    <row r="673" spans="1:27">
      <c r="A673" s="77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</row>
    <row r="674" spans="1:27">
      <c r="A674" s="77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</row>
    <row r="675" spans="1:27">
      <c r="A675" s="77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</row>
    <row r="676" spans="1:27">
      <c r="A676" s="77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</row>
    <row r="677" spans="1:27">
      <c r="A677" s="77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</row>
    <row r="678" spans="1:27">
      <c r="A678" s="77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</row>
    <row r="679" spans="1:27">
      <c r="A679" s="77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</row>
    <row r="680" spans="1:27">
      <c r="A680" s="77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</row>
    <row r="681" spans="1:27">
      <c r="A681" s="77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</row>
    <row r="682" spans="1:27">
      <c r="A682" s="77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</row>
    <row r="683" spans="1:27">
      <c r="A683" s="77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</row>
    <row r="684" spans="1:27">
      <c r="A684" s="77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</row>
    <row r="685" spans="1:27">
      <c r="A685" s="77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</row>
    <row r="686" spans="1:27">
      <c r="A686" s="77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</row>
    <row r="687" spans="1:27">
      <c r="A687" s="77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</row>
    <row r="688" spans="1:27">
      <c r="A688" s="77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</row>
    <row r="689" spans="1:27">
      <c r="A689" s="77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</row>
    <row r="690" spans="1:27">
      <c r="A690" s="77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</row>
    <row r="691" spans="1:27">
      <c r="A691" s="77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</row>
    <row r="692" spans="1:27">
      <c r="A692" s="77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</row>
    <row r="693" spans="1:27">
      <c r="A693" s="77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</row>
    <row r="694" spans="1:27">
      <c r="A694" s="77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</row>
    <row r="695" spans="1:27">
      <c r="A695" s="77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</row>
    <row r="696" spans="1:27">
      <c r="A696" s="77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</row>
    <row r="697" spans="1:27">
      <c r="A697" s="77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</row>
    <row r="698" spans="1:27">
      <c r="A698" s="77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</row>
    <row r="699" spans="1:27">
      <c r="A699" s="77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</row>
    <row r="700" spans="1:27">
      <c r="A700" s="77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</row>
    <row r="701" spans="1:27">
      <c r="A701" s="77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</row>
    <row r="702" spans="1:27">
      <c r="A702" s="77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</row>
    <row r="703" spans="1:27">
      <c r="A703" s="77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</row>
    <row r="704" spans="1:27">
      <c r="A704" s="77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</row>
    <row r="705" spans="1:27">
      <c r="A705" s="77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</row>
    <row r="706" spans="1:27">
      <c r="A706" s="77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</row>
    <row r="707" spans="1:27">
      <c r="A707" s="77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</row>
    <row r="708" spans="1:27">
      <c r="A708" s="77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</row>
    <row r="709" spans="1:27">
      <c r="A709" s="77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</row>
    <row r="710" spans="1:27">
      <c r="A710" s="77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</row>
    <row r="711" spans="1:27">
      <c r="A711" s="77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</row>
    <row r="712" spans="1:27">
      <c r="A712" s="77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</row>
    <row r="713" spans="1:27">
      <c r="A713" s="77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</row>
    <row r="714" spans="1:27">
      <c r="A714" s="77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</row>
    <row r="715" spans="1:27">
      <c r="A715" s="77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</row>
    <row r="716" spans="1:27">
      <c r="A716" s="77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</row>
    <row r="717" spans="1:27">
      <c r="A717" s="77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</row>
    <row r="718" spans="1:27">
      <c r="A718" s="77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</row>
    <row r="719" spans="1:27">
      <c r="A719" s="77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</row>
    <row r="720" spans="1:27">
      <c r="A720" s="77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</row>
    <row r="721" spans="1:27">
      <c r="A721" s="77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</row>
    <row r="722" spans="1:27">
      <c r="A722" s="77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</row>
    <row r="723" spans="1:27">
      <c r="A723" s="77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</row>
    <row r="724" spans="1:27">
      <c r="A724" s="77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</row>
    <row r="725" spans="1:27">
      <c r="A725" s="77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</row>
    <row r="726" spans="1:27">
      <c r="A726" s="77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</row>
    <row r="727" spans="1:27">
      <c r="A727" s="77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</row>
    <row r="728" spans="1:27">
      <c r="A728" s="77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</row>
    <row r="729" spans="1:27">
      <c r="A729" s="77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</row>
    <row r="730" spans="1:27">
      <c r="A730" s="77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</row>
    <row r="731" spans="1:27">
      <c r="A731" s="77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</row>
    <row r="732" spans="1:27">
      <c r="A732" s="77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</row>
    <row r="733" spans="1:27">
      <c r="A733" s="77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</row>
    <row r="734" spans="1:27">
      <c r="A734" s="77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</row>
    <row r="735" spans="1:27">
      <c r="A735" s="77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</row>
    <row r="736" spans="1:27">
      <c r="A736" s="77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</row>
    <row r="737" spans="1:27">
      <c r="A737" s="77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</row>
    <row r="738" spans="1:27">
      <c r="A738" s="77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</row>
    <row r="739" spans="1:27">
      <c r="A739" s="77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</row>
    <row r="740" spans="1:27">
      <c r="A740" s="77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</row>
    <row r="741" spans="1:27">
      <c r="A741" s="77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</row>
    <row r="742" spans="1:27">
      <c r="A742" s="77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</row>
    <row r="743" spans="1:27">
      <c r="A743" s="77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</row>
    <row r="744" spans="1:27">
      <c r="A744" s="77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</row>
    <row r="745" spans="1:27">
      <c r="A745" s="77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</row>
    <row r="746" spans="1:27">
      <c r="A746" s="77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</row>
    <row r="747" spans="1:27">
      <c r="A747" s="77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</row>
    <row r="748" spans="1:27">
      <c r="A748" s="77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</row>
    <row r="749" spans="1:27">
      <c r="A749" s="77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</row>
    <row r="750" spans="1:27">
      <c r="A750" s="77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</row>
    <row r="751" spans="1:27">
      <c r="A751" s="77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</row>
    <row r="752" spans="1:27">
      <c r="A752" s="77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</row>
    <row r="753" spans="1:27">
      <c r="A753" s="77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</row>
    <row r="754" spans="1:27">
      <c r="A754" s="77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</row>
    <row r="755" spans="1:27">
      <c r="A755" s="77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</row>
    <row r="756" spans="1:27">
      <c r="A756" s="77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</row>
    <row r="757" spans="1:27">
      <c r="A757" s="77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</row>
    <row r="758" spans="1:27">
      <c r="A758" s="77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</row>
    <row r="759" spans="1:27">
      <c r="A759" s="77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</row>
    <row r="760" spans="1:27">
      <c r="A760" s="77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</row>
    <row r="761" spans="1:27">
      <c r="A761" s="77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</row>
    <row r="762" spans="1:27">
      <c r="A762" s="77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</row>
    <row r="763" spans="1:27">
      <c r="A763" s="77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</row>
    <row r="764" spans="1:27">
      <c r="A764" s="77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</row>
    <row r="765" spans="1:27">
      <c r="A765" s="77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</row>
    <row r="766" spans="1:27">
      <c r="A766" s="77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</row>
    <row r="767" spans="1:27">
      <c r="A767" s="77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</row>
    <row r="768" spans="1:27">
      <c r="A768" s="77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</row>
    <row r="769" spans="1:27">
      <c r="A769" s="77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</row>
    <row r="770" spans="1:27">
      <c r="A770" s="77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</row>
    <row r="771" spans="1:27">
      <c r="A771" s="77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</row>
    <row r="772" spans="1:27">
      <c r="A772" s="77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</row>
    <row r="773" spans="1:27">
      <c r="A773" s="77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</row>
    <row r="774" spans="1:27">
      <c r="A774" s="77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</row>
    <row r="775" spans="1:27">
      <c r="A775" s="77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</row>
    <row r="776" spans="1:27">
      <c r="A776" s="77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</row>
    <row r="777" spans="1:27">
      <c r="A777" s="77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</row>
    <row r="778" spans="1:27">
      <c r="A778" s="77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</row>
    <row r="779" spans="1:27">
      <c r="A779" s="77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</row>
    <row r="780" spans="1:27">
      <c r="A780" s="77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</row>
    <row r="781" spans="1:27">
      <c r="A781" s="77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</row>
    <row r="782" spans="1:27">
      <c r="A782" s="77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</row>
    <row r="783" spans="1:27">
      <c r="A783" s="77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</row>
    <row r="784" spans="1:27">
      <c r="A784" s="77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</row>
    <row r="785" spans="1:27">
      <c r="A785" s="77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</row>
    <row r="786" spans="1:27">
      <c r="A786" s="77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</row>
    <row r="787" spans="1:27">
      <c r="A787" s="77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</row>
    <row r="788" spans="1:27">
      <c r="A788" s="77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</row>
    <row r="789" spans="1:27">
      <c r="A789" s="77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</row>
    <row r="790" spans="1:27">
      <c r="A790" s="77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</row>
    <row r="791" spans="1:27">
      <c r="A791" s="77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</row>
    <row r="792" spans="1:27">
      <c r="A792" s="77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</row>
    <row r="793" spans="1:27">
      <c r="A793" s="77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</row>
    <row r="794" spans="1:27">
      <c r="A794" s="77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</row>
    <row r="795" spans="1:27">
      <c r="A795" s="77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</row>
    <row r="796" spans="1:27">
      <c r="A796" s="77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</row>
    <row r="797" spans="1:27">
      <c r="A797" s="77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</row>
    <row r="798" spans="1:27">
      <c r="A798" s="77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</row>
    <row r="799" spans="1:27">
      <c r="A799" s="77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</row>
    <row r="800" spans="1:27">
      <c r="A800" s="77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</row>
    <row r="801" spans="1:27">
      <c r="A801" s="77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</row>
    <row r="802" spans="1:27">
      <c r="A802" s="77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</row>
    <row r="803" spans="1:27">
      <c r="A803" s="77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</row>
    <row r="804" spans="1:27">
      <c r="A804" s="77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</row>
    <row r="805" spans="1:27">
      <c r="A805" s="77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</row>
    <row r="806" spans="1:27">
      <c r="A806" s="77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</row>
    <row r="807" spans="1:27">
      <c r="A807" s="77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</row>
    <row r="808" spans="1:27">
      <c r="A808" s="77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</row>
    <row r="809" spans="1:27">
      <c r="A809" s="77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</row>
    <row r="810" spans="1:27">
      <c r="A810" s="77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</row>
    <row r="811" spans="1:27">
      <c r="A811" s="77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</row>
    <row r="812" spans="1:27">
      <c r="A812" s="77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</row>
    <row r="813" spans="1:27">
      <c r="A813" s="77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</row>
    <row r="814" spans="1:27">
      <c r="A814" s="77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</row>
    <row r="815" spans="1:27">
      <c r="A815" s="77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</row>
    <row r="816" spans="1:27">
      <c r="A816" s="77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</row>
    <row r="817" spans="1:27">
      <c r="A817" s="77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</row>
    <row r="818" spans="1:27">
      <c r="A818" s="77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</row>
    <row r="819" spans="1:27">
      <c r="A819" s="77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</row>
    <row r="820" spans="1:27">
      <c r="A820" s="77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</row>
    <row r="821" spans="1:27">
      <c r="A821" s="77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</row>
    <row r="822" spans="1:27">
      <c r="A822" s="77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</row>
    <row r="823" spans="1:27">
      <c r="A823" s="77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</row>
    <row r="824" spans="1:27">
      <c r="A824" s="77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</row>
    <row r="825" spans="1:27">
      <c r="A825" s="77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</row>
    <row r="826" spans="1:27">
      <c r="A826" s="77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</row>
    <row r="827" spans="1:27">
      <c r="A827" s="77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</row>
    <row r="828" spans="1:27">
      <c r="A828" s="77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</row>
    <row r="829" spans="1:27">
      <c r="A829" s="77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</row>
    <row r="830" spans="1:27">
      <c r="A830" s="77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</row>
    <row r="831" spans="1:27">
      <c r="A831" s="77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</row>
    <row r="832" spans="1:27">
      <c r="A832" s="77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</row>
    <row r="833" spans="1:27">
      <c r="A833" s="77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</row>
    <row r="834" spans="1:27">
      <c r="A834" s="77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</row>
    <row r="835" spans="1:27">
      <c r="A835" s="77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</row>
    <row r="836" spans="1:27">
      <c r="A836" s="77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</row>
    <row r="837" spans="1:27">
      <c r="A837" s="77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</row>
    <row r="838" spans="1:27">
      <c r="A838" s="77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</row>
    <row r="839" spans="1:27">
      <c r="A839" s="77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</row>
    <row r="840" spans="1:27">
      <c r="A840" s="77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</row>
    <row r="841" spans="1:27">
      <c r="A841" s="77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</row>
    <row r="842" spans="1:27">
      <c r="A842" s="77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</row>
    <row r="843" spans="1:27">
      <c r="A843" s="77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</row>
    <row r="844" spans="1:27">
      <c r="A844" s="77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</row>
    <row r="845" spans="1:27">
      <c r="A845" s="77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</row>
    <row r="846" spans="1:27">
      <c r="A846" s="77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</row>
    <row r="847" spans="1:27">
      <c r="A847" s="77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</row>
    <row r="848" spans="1:27">
      <c r="A848" s="77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</row>
    <row r="849" spans="1:27">
      <c r="A849" s="77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</row>
    <row r="850" spans="1:27">
      <c r="A850" s="77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</row>
    <row r="851" spans="1:27">
      <c r="A851" s="77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</row>
    <row r="852" spans="1:27">
      <c r="A852" s="77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</row>
    <row r="853" spans="1:27">
      <c r="A853" s="77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</row>
    <row r="854" spans="1:27">
      <c r="A854" s="77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</row>
    <row r="855" spans="1:27">
      <c r="A855" s="77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</row>
    <row r="856" spans="1:27">
      <c r="A856" s="77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</row>
    <row r="857" spans="1:27">
      <c r="A857" s="77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</row>
    <row r="858" spans="1:27">
      <c r="A858" s="77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</row>
    <row r="859" spans="1:27">
      <c r="A859" s="77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</row>
    <row r="860" spans="1:27">
      <c r="A860" s="77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</row>
    <row r="861" spans="1:27">
      <c r="A861" s="77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</row>
    <row r="862" spans="1:27">
      <c r="A862" s="77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</row>
    <row r="863" spans="1:27">
      <c r="A863" s="77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</row>
    <row r="864" spans="1:27">
      <c r="A864" s="77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</row>
    <row r="865" spans="1:27">
      <c r="A865" s="77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</row>
    <row r="866" spans="1:27">
      <c r="A866" s="77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</row>
    <row r="867" spans="1:27">
      <c r="A867" s="77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</row>
    <row r="868" spans="1:27">
      <c r="A868" s="77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</row>
    <row r="869" spans="1:27">
      <c r="A869" s="77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</row>
    <row r="870" spans="1:27">
      <c r="A870" s="77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</row>
    <row r="871" spans="1:27">
      <c r="A871" s="77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</row>
    <row r="872" spans="1:27">
      <c r="A872" s="77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</row>
    <row r="873" spans="1:27">
      <c r="A873" s="77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</row>
    <row r="874" spans="1:27">
      <c r="A874" s="77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</row>
    <row r="875" spans="1:27">
      <c r="A875" s="77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</row>
    <row r="876" spans="1:27">
      <c r="A876" s="77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</row>
    <row r="877" spans="1:27">
      <c r="A877" s="77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</row>
    <row r="878" spans="1:27">
      <c r="A878" s="77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</row>
    <row r="879" spans="1:27">
      <c r="A879" s="77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</row>
    <row r="880" spans="1:27">
      <c r="A880" s="77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</row>
    <row r="881" spans="1:27">
      <c r="A881" s="77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</row>
    <row r="882" spans="1:27">
      <c r="A882" s="77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</row>
    <row r="883" spans="1:27">
      <c r="A883" s="77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</row>
    <row r="884" spans="1:27">
      <c r="A884" s="77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</row>
    <row r="885" spans="1:27">
      <c r="A885" s="77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</row>
    <row r="886" spans="1:27">
      <c r="A886" s="77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</row>
    <row r="887" spans="1:27">
      <c r="A887" s="77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</row>
    <row r="888" spans="1:27">
      <c r="A888" s="77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</row>
    <row r="889" spans="1:27">
      <c r="A889" s="77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</row>
    <row r="890" spans="1:27">
      <c r="A890" s="77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</row>
    <row r="891" spans="1:27">
      <c r="A891" s="77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</row>
    <row r="892" spans="1:27">
      <c r="A892" s="77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</row>
    <row r="893" spans="1:27">
      <c r="A893" s="77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</row>
    <row r="894" spans="1:27">
      <c r="A894" s="77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</row>
    <row r="895" spans="1:27">
      <c r="A895" s="77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</row>
    <row r="896" spans="1:27">
      <c r="A896" s="77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</row>
    <row r="897" spans="1:27">
      <c r="A897" s="77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</row>
    <row r="898" spans="1:27">
      <c r="A898" s="77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</row>
    <row r="899" spans="1:27">
      <c r="A899" s="77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</row>
    <row r="900" spans="1:27">
      <c r="A900" s="77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</row>
    <row r="901" spans="1:27">
      <c r="A901" s="77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</row>
    <row r="902" spans="1:27">
      <c r="A902" s="77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</row>
    <row r="903" spans="1:27">
      <c r="A903" s="77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</row>
    <row r="904" spans="1:27">
      <c r="A904" s="77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</row>
    <row r="905" spans="1:27">
      <c r="A905" s="77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</row>
    <row r="906" spans="1:27">
      <c r="A906" s="77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</row>
    <row r="907" spans="1:27">
      <c r="A907" s="77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</row>
    <row r="908" spans="1:27">
      <c r="A908" s="77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</row>
    <row r="909" spans="1:27">
      <c r="A909" s="77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</row>
    <row r="910" spans="1:27">
      <c r="A910" s="77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</row>
    <row r="911" spans="1:27">
      <c r="A911" s="77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</row>
    <row r="912" spans="1:27">
      <c r="A912" s="77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</row>
    <row r="913" spans="1:27">
      <c r="A913" s="77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</row>
    <row r="914" spans="1:27">
      <c r="A914" s="77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</row>
    <row r="915" spans="1:27">
      <c r="A915" s="77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</row>
    <row r="916" spans="1:27">
      <c r="A916" s="77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</row>
    <row r="917" spans="1:27">
      <c r="A917" s="77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</row>
    <row r="918" spans="1:27">
      <c r="A918" s="77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</row>
    <row r="919" spans="1:27">
      <c r="A919" s="77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</row>
    <row r="920" spans="1:27">
      <c r="A920" s="77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</row>
    <row r="921" spans="1:27">
      <c r="A921" s="77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</row>
    <row r="922" spans="1:27">
      <c r="A922" s="77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</row>
    <row r="923" spans="1:27">
      <c r="A923" s="77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</row>
    <row r="924" spans="1:27">
      <c r="A924" s="77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</row>
    <row r="925" spans="1:27">
      <c r="A925" s="77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</row>
    <row r="926" spans="1:27">
      <c r="A926" s="77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</row>
    <row r="927" spans="1:27">
      <c r="A927" s="77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</row>
    <row r="928" spans="1:27">
      <c r="A928" s="77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</row>
    <row r="929" spans="1:27">
      <c r="A929" s="77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</row>
    <row r="930" spans="1:27">
      <c r="A930" s="77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</row>
    <row r="931" spans="1:27">
      <c r="A931" s="77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</row>
    <row r="932" spans="1:27">
      <c r="A932" s="77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</row>
    <row r="933" spans="1:27">
      <c r="A933" s="77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</row>
    <row r="934" spans="1:27">
      <c r="A934" s="77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</row>
    <row r="935" spans="1:27">
      <c r="A935" s="77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</row>
    <row r="936" spans="1:27">
      <c r="A936" s="77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</row>
    <row r="937" spans="1:27">
      <c r="A937" s="77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</row>
    <row r="938" spans="1:27">
      <c r="A938" s="77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</row>
    <row r="939" spans="1:27">
      <c r="A939" s="77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</row>
    <row r="940" spans="1:27">
      <c r="A940" s="77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</row>
    <row r="941" spans="1:27">
      <c r="A941" s="77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</row>
    <row r="942" spans="1:27">
      <c r="A942" s="77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</row>
    <row r="943" spans="1:27">
      <c r="A943" s="77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</row>
    <row r="944" spans="1:27">
      <c r="A944" s="77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</row>
    <row r="945" spans="1:27">
      <c r="A945" s="77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</row>
    <row r="946" spans="1:27">
      <c r="A946" s="77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</row>
    <row r="947" spans="1:27">
      <c r="A947" s="77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</row>
    <row r="948" spans="1:27">
      <c r="A948" s="77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</row>
    <row r="949" spans="1:27">
      <c r="A949" s="77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</row>
    <row r="950" spans="1:27">
      <c r="A950" s="77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</row>
    <row r="951" spans="1:27">
      <c r="A951" s="77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</row>
    <row r="952" spans="1:27">
      <c r="A952" s="77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</row>
    <row r="953" spans="1:27">
      <c r="A953" s="77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</row>
    <row r="954" spans="1:27">
      <c r="A954" s="77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</row>
    <row r="955" spans="1:27">
      <c r="A955" s="77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</row>
    <row r="956" spans="1:27">
      <c r="A956" s="77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</row>
    <row r="957" spans="1:27">
      <c r="A957" s="77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</row>
    <row r="958" spans="1:27">
      <c r="A958" s="77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</row>
    <row r="959" spans="1:27">
      <c r="A959" s="77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</row>
    <row r="960" spans="1:27">
      <c r="A960" s="77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</row>
    <row r="961" spans="1:27">
      <c r="A961" s="77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</row>
    <row r="962" spans="1:27">
      <c r="A962" s="77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</row>
    <row r="963" spans="1:27">
      <c r="A963" s="77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</row>
    <row r="964" spans="1:27">
      <c r="A964" s="77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</row>
    <row r="965" spans="1:27">
      <c r="A965" s="77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</row>
    <row r="966" spans="1:27">
      <c r="A966" s="77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</row>
    <row r="967" spans="1:27">
      <c r="A967" s="77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</row>
    <row r="968" spans="1:27">
      <c r="A968" s="77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</row>
    <row r="969" spans="1:27">
      <c r="A969" s="77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</row>
    <row r="970" spans="1:27">
      <c r="A970" s="77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</row>
    <row r="971" spans="1:27">
      <c r="A971" s="77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</row>
    <row r="972" spans="1:27">
      <c r="A972" s="77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</row>
    <row r="973" spans="1:27">
      <c r="A973" s="77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</row>
    <row r="974" spans="1:27">
      <c r="A974" s="77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</row>
    <row r="975" spans="1:27">
      <c r="A975" s="77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</row>
    <row r="976" spans="1:27">
      <c r="A976" s="77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</row>
    <row r="977" spans="1:27">
      <c r="A977" s="77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</row>
    <row r="978" spans="1:27">
      <c r="A978" s="77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</row>
    <row r="979" spans="1:27">
      <c r="A979" s="77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</row>
    <row r="980" spans="1:27">
      <c r="A980" s="77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</row>
    <row r="981" spans="1:27">
      <c r="A981" s="77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</row>
    <row r="982" spans="1:27">
      <c r="A982" s="77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</row>
    <row r="983" spans="1:27">
      <c r="A983" s="77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</row>
    <row r="984" spans="1:27">
      <c r="A984" s="77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</row>
    <row r="985" spans="1:27">
      <c r="A985" s="77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</row>
    <row r="986" spans="1:27">
      <c r="A986" s="77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</row>
    <row r="987" spans="1:27">
      <c r="A987" s="77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</row>
    <row r="988" spans="1:27">
      <c r="A988" s="77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</row>
    <row r="989" spans="1:27">
      <c r="A989" s="77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</row>
    <row r="990" spans="1:27">
      <c r="A990" s="77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</row>
    <row r="991" spans="1:27">
      <c r="A991" s="77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</row>
    <row r="992" spans="1:27">
      <c r="A992" s="77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</row>
    <row r="993" spans="1:27">
      <c r="A993" s="77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</row>
    <row r="994" spans="1:27">
      <c r="A994" s="77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</row>
    <row r="995" spans="1:27">
      <c r="A995" s="77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</row>
    <row r="996" spans="1:27">
      <c r="A996" s="77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</row>
    <row r="997" spans="1:27">
      <c r="A997" s="77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</row>
    <row r="998" spans="1:27">
      <c r="A998" s="77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</row>
    <row r="999" spans="1:27">
      <c r="A999" s="77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</row>
    <row r="1000" spans="1:27">
      <c r="A1000" s="77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</row>
  </sheetData>
  <mergeCells count="9">
    <mergeCell ref="C4:E4"/>
    <mergeCell ref="B8:E8"/>
    <mergeCell ref="A1:E1"/>
    <mergeCell ref="F1:K8"/>
    <mergeCell ref="A2:B2"/>
    <mergeCell ref="C2:E2"/>
    <mergeCell ref="A3:B3"/>
    <mergeCell ref="C3:E3"/>
    <mergeCell ref="A4:B4"/>
  </mergeCells>
  <dataValidations count="3">
    <dataValidation type="list" allowBlank="1" showErrorMessage="1" sqref="J10:J12" xr:uid="{00000000-0002-0000-0000-000000000000}">
      <formula1>"Pass,Fail,N/A"</formula1>
    </dataValidation>
    <dataValidation type="list" allowBlank="1" sqref="I10:I12" xr:uid="{00000000-0002-0000-0000-000001000000}">
      <formula1>"Passed,Failed,N/A"</formula1>
    </dataValidation>
    <dataValidation type="list" sqref="I10:J67" xr:uid="{00000000-0002-0000-0000-000002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21" workbookViewId="0">
      <selection activeCell="B11" sqref="B11"/>
    </sheetView>
  </sheetViews>
  <sheetFormatPr defaultRowHeight="13"/>
  <cols>
    <col min="1" max="1" width="14" style="52" customWidth="1"/>
    <col min="2" max="2" width="29.6328125" style="52" customWidth="1"/>
    <col min="3" max="3" width="22.7265625" style="52" customWidth="1"/>
    <col min="4" max="4" width="38" style="52" customWidth="1"/>
    <col min="5" max="5" width="34" style="52" customWidth="1"/>
    <col min="6" max="6" width="44" style="52" customWidth="1"/>
    <col min="7" max="7" width="30" style="52" customWidth="1"/>
    <col min="8" max="8" width="42" style="52" customWidth="1"/>
    <col min="9" max="10" width="17.36328125" style="52" customWidth="1"/>
    <col min="11" max="11" width="31" style="52" customWidth="1"/>
    <col min="12" max="16384" width="8.7265625" style="52"/>
  </cols>
  <sheetData>
    <row r="1" spans="1:11" ht="27.5">
      <c r="A1" s="50" t="s">
        <v>20</v>
      </c>
      <c r="B1" s="50"/>
      <c r="C1" s="50"/>
      <c r="D1" s="50"/>
      <c r="E1" s="50"/>
      <c r="F1" s="51"/>
      <c r="G1" s="51"/>
      <c r="H1" s="51"/>
      <c r="I1" s="51"/>
      <c r="J1" s="51"/>
      <c r="K1" s="51"/>
    </row>
    <row r="2" spans="1:11" ht="14">
      <c r="A2" s="53" t="s">
        <v>21</v>
      </c>
      <c r="B2" s="53"/>
      <c r="C2" s="54" t="s">
        <v>358</v>
      </c>
      <c r="D2" s="54"/>
      <c r="E2" s="54"/>
      <c r="F2" s="51"/>
      <c r="G2" s="51"/>
      <c r="H2" s="51"/>
      <c r="I2" s="51"/>
      <c r="J2" s="51"/>
      <c r="K2" s="51"/>
    </row>
    <row r="3" spans="1:11" ht="14">
      <c r="A3" s="53" t="s">
        <v>23</v>
      </c>
      <c r="B3" s="53"/>
      <c r="C3" s="55" t="s">
        <v>359</v>
      </c>
      <c r="D3" s="55"/>
      <c r="E3" s="55"/>
      <c r="F3" s="51"/>
      <c r="G3" s="51"/>
      <c r="H3" s="51"/>
      <c r="I3" s="51"/>
      <c r="J3" s="51"/>
      <c r="K3" s="51"/>
    </row>
    <row r="4" spans="1:11" ht="14">
      <c r="A4" s="53" t="s">
        <v>25</v>
      </c>
      <c r="B4" s="53"/>
      <c r="C4" s="55"/>
      <c r="D4" s="55"/>
      <c r="E4" s="55"/>
      <c r="F4" s="51"/>
      <c r="G4" s="51"/>
      <c r="H4" s="51"/>
      <c r="I4" s="51"/>
      <c r="J4" s="51"/>
      <c r="K4" s="51"/>
    </row>
    <row r="5" spans="1:11" ht="14">
      <c r="A5" s="56" t="s">
        <v>26</v>
      </c>
      <c r="B5" s="57" t="s">
        <v>27</v>
      </c>
      <c r="C5" s="58" t="s">
        <v>28</v>
      </c>
      <c r="D5" s="59" t="s">
        <v>5</v>
      </c>
      <c r="E5" s="60" t="s">
        <v>29</v>
      </c>
      <c r="F5" s="51"/>
      <c r="G5" s="51"/>
      <c r="H5" s="51"/>
      <c r="I5" s="51"/>
      <c r="J5" s="51"/>
      <c r="K5" s="51"/>
    </row>
    <row r="6" spans="1:11" ht="14">
      <c r="A6" s="61">
        <f>COUNTIF(I10:I17,"Passed")</f>
        <v>0</v>
      </c>
      <c r="B6" s="62">
        <f>COUNTIF(I10:I17,"Failed")</f>
        <v>0</v>
      </c>
      <c r="C6" s="62">
        <f>COUNTIF(I10:I17,"N/A")</f>
        <v>0</v>
      </c>
      <c r="D6" s="62">
        <f>E6-C6-A6-B6</f>
        <v>8</v>
      </c>
      <c r="E6" s="63">
        <f>COUNTA(A10:A17)</f>
        <v>8</v>
      </c>
      <c r="F6" s="51"/>
      <c r="G6" s="51"/>
      <c r="H6" s="51"/>
      <c r="I6" s="51"/>
      <c r="J6" s="51"/>
      <c r="K6" s="51"/>
    </row>
    <row r="7" spans="1:11" ht="14">
      <c r="A7" s="64">
        <f>COUNTIF(J10:J17,"Passed")</f>
        <v>0</v>
      </c>
      <c r="B7" s="65">
        <f>COUNTIF(J10:J17,"Failed")</f>
        <v>0</v>
      </c>
      <c r="C7" s="65">
        <f>COUNTIF(J10:J17,"N/A")</f>
        <v>0</v>
      </c>
      <c r="D7" s="65">
        <f>E7-C7-A7-B7</f>
        <v>8</v>
      </c>
      <c r="E7" s="66">
        <f>COUNTA(A10:A17)</f>
        <v>8</v>
      </c>
      <c r="F7" s="51"/>
      <c r="G7" s="51"/>
      <c r="H7" s="51"/>
      <c r="I7" s="51"/>
      <c r="J7" s="51"/>
      <c r="K7" s="51"/>
    </row>
    <row r="8" spans="1:11"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11">
      <c r="A9" s="67" t="s">
        <v>30</v>
      </c>
      <c r="B9" s="67" t="s">
        <v>31</v>
      </c>
      <c r="C9" s="67" t="s">
        <v>32</v>
      </c>
      <c r="D9" s="67" t="s">
        <v>33</v>
      </c>
      <c r="E9" s="67" t="s">
        <v>34</v>
      </c>
      <c r="F9" s="67" t="s">
        <v>35</v>
      </c>
      <c r="G9" s="67" t="s">
        <v>36</v>
      </c>
      <c r="H9" s="67" t="s">
        <v>37</v>
      </c>
      <c r="I9" s="67" t="s">
        <v>38</v>
      </c>
      <c r="J9" s="67" t="s">
        <v>39</v>
      </c>
      <c r="K9" s="67" t="s">
        <v>40</v>
      </c>
    </row>
    <row r="10" spans="1:11" ht="52">
      <c r="A10" s="68" t="s">
        <v>360</v>
      </c>
      <c r="B10" s="69" t="s">
        <v>361</v>
      </c>
      <c r="C10" s="69" t="s">
        <v>362</v>
      </c>
      <c r="D10" s="69" t="s">
        <v>363</v>
      </c>
      <c r="E10" s="69" t="s">
        <v>364</v>
      </c>
      <c r="F10" s="69" t="s">
        <v>365</v>
      </c>
      <c r="G10" s="69" t="s">
        <v>366</v>
      </c>
      <c r="H10" s="69" t="s">
        <v>367</v>
      </c>
      <c r="I10" s="68"/>
      <c r="J10" s="68"/>
      <c r="K10" s="69" t="s">
        <v>368</v>
      </c>
    </row>
    <row r="11" spans="1:11" ht="52">
      <c r="A11" s="68" t="s">
        <v>369</v>
      </c>
      <c r="B11" s="69" t="s">
        <v>361</v>
      </c>
      <c r="C11" s="69" t="s">
        <v>362</v>
      </c>
      <c r="D11" s="69" t="s">
        <v>370</v>
      </c>
      <c r="E11" s="69" t="s">
        <v>364</v>
      </c>
      <c r="F11" s="69" t="s">
        <v>365</v>
      </c>
      <c r="G11" s="69" t="s">
        <v>371</v>
      </c>
      <c r="H11" s="69" t="s">
        <v>372</v>
      </c>
      <c r="I11" s="68"/>
      <c r="J11" s="68"/>
      <c r="K11" s="69" t="s">
        <v>368</v>
      </c>
    </row>
    <row r="12" spans="1:11" ht="52">
      <c r="A12" s="68" t="s">
        <v>373</v>
      </c>
      <c r="B12" s="69" t="s">
        <v>361</v>
      </c>
      <c r="C12" s="69" t="s">
        <v>362</v>
      </c>
      <c r="D12" s="69" t="s">
        <v>374</v>
      </c>
      <c r="E12" s="69" t="s">
        <v>364</v>
      </c>
      <c r="F12" s="69" t="s">
        <v>365</v>
      </c>
      <c r="G12" s="69" t="s">
        <v>375</v>
      </c>
      <c r="H12" s="69" t="s">
        <v>376</v>
      </c>
      <c r="I12" s="68"/>
      <c r="J12" s="68"/>
      <c r="K12" s="69" t="s">
        <v>377</v>
      </c>
    </row>
    <row r="13" spans="1:11" ht="52">
      <c r="A13" s="68" t="s">
        <v>378</v>
      </c>
      <c r="B13" s="69" t="s">
        <v>361</v>
      </c>
      <c r="C13" s="69" t="s">
        <v>362</v>
      </c>
      <c r="D13" s="69" t="s">
        <v>379</v>
      </c>
      <c r="E13" s="69" t="s">
        <v>364</v>
      </c>
      <c r="F13" s="69" t="s">
        <v>365</v>
      </c>
      <c r="G13" s="69" t="s">
        <v>380</v>
      </c>
      <c r="H13" s="69" t="s">
        <v>381</v>
      </c>
      <c r="I13" s="68"/>
      <c r="J13" s="68"/>
      <c r="K13" s="69" t="s">
        <v>377</v>
      </c>
    </row>
    <row r="14" spans="1:11" ht="52">
      <c r="A14" s="68" t="s">
        <v>382</v>
      </c>
      <c r="B14" s="69" t="s">
        <v>361</v>
      </c>
      <c r="C14" s="69" t="s">
        <v>362</v>
      </c>
      <c r="D14" s="69" t="s">
        <v>383</v>
      </c>
      <c r="E14" s="69" t="s">
        <v>364</v>
      </c>
      <c r="F14" s="69" t="s">
        <v>365</v>
      </c>
      <c r="G14" s="69" t="s">
        <v>384</v>
      </c>
      <c r="H14" s="69" t="s">
        <v>385</v>
      </c>
      <c r="I14" s="68"/>
      <c r="J14" s="68"/>
      <c r="K14" s="69" t="s">
        <v>377</v>
      </c>
    </row>
    <row r="15" spans="1:11" ht="52">
      <c r="A15" s="68" t="s">
        <v>386</v>
      </c>
      <c r="B15" s="69" t="s">
        <v>361</v>
      </c>
      <c r="C15" s="69" t="s">
        <v>362</v>
      </c>
      <c r="D15" s="69" t="s">
        <v>387</v>
      </c>
      <c r="E15" s="69" t="s">
        <v>364</v>
      </c>
      <c r="F15" s="69" t="s">
        <v>365</v>
      </c>
      <c r="G15" s="69" t="s">
        <v>388</v>
      </c>
      <c r="H15" s="69" t="s">
        <v>389</v>
      </c>
      <c r="I15" s="68"/>
      <c r="J15" s="68"/>
      <c r="K15" s="69" t="s">
        <v>390</v>
      </c>
    </row>
    <row r="16" spans="1:11" ht="52">
      <c r="A16" s="68" t="s">
        <v>391</v>
      </c>
      <c r="B16" s="69" t="s">
        <v>361</v>
      </c>
      <c r="C16" s="69" t="s">
        <v>362</v>
      </c>
      <c r="D16" s="69" t="s">
        <v>392</v>
      </c>
      <c r="E16" s="69" t="s">
        <v>364</v>
      </c>
      <c r="F16" s="69" t="s">
        <v>365</v>
      </c>
      <c r="G16" s="69" t="s">
        <v>393</v>
      </c>
      <c r="H16" s="69" t="s">
        <v>394</v>
      </c>
      <c r="I16" s="68"/>
      <c r="J16" s="68"/>
      <c r="K16" s="69" t="s">
        <v>377</v>
      </c>
    </row>
    <row r="17" spans="1:11" ht="52">
      <c r="A17" s="68" t="s">
        <v>395</v>
      </c>
      <c r="B17" s="69" t="s">
        <v>361</v>
      </c>
      <c r="C17" s="69" t="s">
        <v>362</v>
      </c>
      <c r="D17" s="69" t="s">
        <v>396</v>
      </c>
      <c r="E17" s="69" t="s">
        <v>364</v>
      </c>
      <c r="F17" s="69" t="s">
        <v>365</v>
      </c>
      <c r="G17" s="69" t="s">
        <v>397</v>
      </c>
      <c r="H17" s="69" t="s">
        <v>398</v>
      </c>
      <c r="I17" s="68"/>
      <c r="J17" s="68"/>
      <c r="K17" s="69" t="s">
        <v>377</v>
      </c>
    </row>
    <row r="18" spans="1:11" ht="52">
      <c r="A18" s="68" t="s">
        <v>1244</v>
      </c>
      <c r="B18" s="69" t="s">
        <v>1245</v>
      </c>
      <c r="C18" s="69" t="s">
        <v>1246</v>
      </c>
      <c r="D18" s="69" t="s">
        <v>1247</v>
      </c>
      <c r="E18" s="69" t="s">
        <v>1248</v>
      </c>
      <c r="F18" s="69" t="s">
        <v>1249</v>
      </c>
      <c r="G18" s="69" t="s">
        <v>1250</v>
      </c>
      <c r="H18" s="69" t="s">
        <v>1251</v>
      </c>
      <c r="I18" s="68"/>
      <c r="J18" s="68"/>
      <c r="K18" s="69" t="s">
        <v>1252</v>
      </c>
    </row>
    <row r="19" spans="1:11" ht="52">
      <c r="A19" s="68" t="s">
        <v>1253</v>
      </c>
      <c r="B19" s="69" t="s">
        <v>1245</v>
      </c>
      <c r="C19" s="69" t="s">
        <v>1246</v>
      </c>
      <c r="D19" s="69" t="s">
        <v>1254</v>
      </c>
      <c r="E19" s="69" t="s">
        <v>1248</v>
      </c>
      <c r="F19" s="69" t="s">
        <v>1249</v>
      </c>
      <c r="G19" s="69" t="s">
        <v>1255</v>
      </c>
      <c r="H19" s="69" t="s">
        <v>1256</v>
      </c>
      <c r="I19" s="68"/>
      <c r="J19" s="68"/>
      <c r="K19" s="69" t="s">
        <v>1252</v>
      </c>
    </row>
    <row r="20" spans="1:11" ht="52">
      <c r="A20" s="68" t="s">
        <v>1257</v>
      </c>
      <c r="B20" s="69" t="s">
        <v>1245</v>
      </c>
      <c r="C20" s="69" t="s">
        <v>1246</v>
      </c>
      <c r="D20" s="69" t="s">
        <v>1258</v>
      </c>
      <c r="E20" s="69" t="s">
        <v>1248</v>
      </c>
      <c r="F20" s="69" t="s">
        <v>1249</v>
      </c>
      <c r="G20" s="69" t="s">
        <v>1259</v>
      </c>
      <c r="H20" s="69" t="s">
        <v>1260</v>
      </c>
      <c r="I20" s="68"/>
      <c r="J20" s="68"/>
      <c r="K20" s="69" t="s">
        <v>1252</v>
      </c>
    </row>
    <row r="21" spans="1:11" ht="52">
      <c r="A21" s="68" t="s">
        <v>1261</v>
      </c>
      <c r="B21" s="69" t="s">
        <v>1245</v>
      </c>
      <c r="C21" s="69" t="s">
        <v>1246</v>
      </c>
      <c r="D21" s="69" t="s">
        <v>1262</v>
      </c>
      <c r="E21" s="69" t="s">
        <v>1248</v>
      </c>
      <c r="F21" s="69" t="s">
        <v>1249</v>
      </c>
      <c r="G21" s="69" t="s">
        <v>1263</v>
      </c>
      <c r="H21" s="69" t="s">
        <v>1264</v>
      </c>
      <c r="I21" s="68"/>
      <c r="J21" s="68"/>
      <c r="K21" s="69" t="s">
        <v>1252</v>
      </c>
    </row>
    <row r="22" spans="1:11" ht="52">
      <c r="A22" s="68" t="s">
        <v>1265</v>
      </c>
      <c r="B22" s="69" t="s">
        <v>1245</v>
      </c>
      <c r="C22" s="69" t="s">
        <v>1246</v>
      </c>
      <c r="D22" s="69" t="s">
        <v>1266</v>
      </c>
      <c r="E22" s="69" t="s">
        <v>1248</v>
      </c>
      <c r="F22" s="69" t="s">
        <v>1249</v>
      </c>
      <c r="G22" s="69" t="s">
        <v>1267</v>
      </c>
      <c r="H22" s="69" t="s">
        <v>1268</v>
      </c>
      <c r="I22" s="68"/>
      <c r="J22" s="68"/>
      <c r="K22" s="69" t="s">
        <v>1252</v>
      </c>
    </row>
    <row r="23" spans="1:11" ht="52">
      <c r="A23" s="68" t="s">
        <v>1269</v>
      </c>
      <c r="B23" s="69" t="s">
        <v>1245</v>
      </c>
      <c r="C23" s="69" t="s">
        <v>1246</v>
      </c>
      <c r="D23" s="69" t="s">
        <v>1270</v>
      </c>
      <c r="E23" s="69" t="s">
        <v>1248</v>
      </c>
      <c r="F23" s="69" t="s">
        <v>1249</v>
      </c>
      <c r="G23" s="69" t="s">
        <v>1271</v>
      </c>
      <c r="H23" s="69" t="s">
        <v>1272</v>
      </c>
      <c r="I23" s="68"/>
      <c r="J23" s="68"/>
      <c r="K23" s="69" t="s">
        <v>1273</v>
      </c>
    </row>
    <row r="24" spans="1:11" ht="52">
      <c r="A24" s="68" t="s">
        <v>1274</v>
      </c>
      <c r="B24" s="69" t="s">
        <v>1245</v>
      </c>
      <c r="C24" s="69" t="s">
        <v>1246</v>
      </c>
      <c r="D24" s="69" t="s">
        <v>1275</v>
      </c>
      <c r="E24" s="69" t="s">
        <v>1248</v>
      </c>
      <c r="F24" s="69" t="s">
        <v>1249</v>
      </c>
      <c r="G24" s="69" t="s">
        <v>1276</v>
      </c>
      <c r="H24" s="69" t="s">
        <v>1277</v>
      </c>
      <c r="I24" s="68"/>
      <c r="J24" s="68"/>
      <c r="K24" s="69" t="s">
        <v>1252</v>
      </c>
    </row>
    <row r="25" spans="1:11" ht="52">
      <c r="A25" s="68" t="s">
        <v>1278</v>
      </c>
      <c r="B25" s="69" t="s">
        <v>1245</v>
      </c>
      <c r="C25" s="69" t="s">
        <v>1246</v>
      </c>
      <c r="D25" s="69" t="s">
        <v>1279</v>
      </c>
      <c r="E25" s="69" t="s">
        <v>1248</v>
      </c>
      <c r="F25" s="69" t="s">
        <v>1249</v>
      </c>
      <c r="G25" s="69" t="s">
        <v>1280</v>
      </c>
      <c r="H25" s="69" t="s">
        <v>1281</v>
      </c>
      <c r="I25" s="68"/>
      <c r="J25" s="68"/>
      <c r="K25" s="69" t="s">
        <v>1252</v>
      </c>
    </row>
    <row r="26" spans="1:11" ht="52">
      <c r="A26" s="68" t="s">
        <v>1282</v>
      </c>
      <c r="B26" s="69" t="s">
        <v>1245</v>
      </c>
      <c r="C26" s="69" t="s">
        <v>1246</v>
      </c>
      <c r="D26" s="69" t="s">
        <v>1283</v>
      </c>
      <c r="E26" s="69" t="s">
        <v>1248</v>
      </c>
      <c r="F26" s="69" t="s">
        <v>1249</v>
      </c>
      <c r="G26" s="69" t="s">
        <v>1284</v>
      </c>
      <c r="H26" s="69" t="s">
        <v>1285</v>
      </c>
      <c r="I26" s="68"/>
      <c r="J26" s="68"/>
      <c r="K26" s="69" t="s">
        <v>1286</v>
      </c>
    </row>
    <row r="27" spans="1:11" ht="52">
      <c r="A27" s="68" t="s">
        <v>1287</v>
      </c>
      <c r="B27" s="69" t="s">
        <v>1245</v>
      </c>
      <c r="C27" s="69" t="s">
        <v>1246</v>
      </c>
      <c r="D27" s="69" t="s">
        <v>1288</v>
      </c>
      <c r="E27" s="69" t="s">
        <v>1248</v>
      </c>
      <c r="F27" s="69" t="s">
        <v>1249</v>
      </c>
      <c r="G27" s="69" t="s">
        <v>1289</v>
      </c>
      <c r="H27" s="69" t="s">
        <v>1290</v>
      </c>
      <c r="I27" s="68"/>
      <c r="J27" s="68"/>
      <c r="K27" s="69" t="s">
        <v>1273</v>
      </c>
    </row>
    <row r="28" spans="1:11" ht="52">
      <c r="A28" s="68" t="s">
        <v>1291</v>
      </c>
      <c r="B28" s="69" t="s">
        <v>1245</v>
      </c>
      <c r="C28" s="69" t="s">
        <v>1246</v>
      </c>
      <c r="D28" s="69" t="s">
        <v>1292</v>
      </c>
      <c r="E28" s="69" t="s">
        <v>1248</v>
      </c>
      <c r="F28" s="69" t="s">
        <v>1249</v>
      </c>
      <c r="G28" s="69" t="s">
        <v>1293</v>
      </c>
      <c r="H28" s="69" t="s">
        <v>1294</v>
      </c>
      <c r="I28" s="68"/>
      <c r="J28" s="68"/>
      <c r="K28" s="69" t="s">
        <v>1273</v>
      </c>
    </row>
    <row r="29" spans="1:11" ht="52">
      <c r="A29" s="68" t="s">
        <v>1295</v>
      </c>
      <c r="B29" s="69" t="s">
        <v>1245</v>
      </c>
      <c r="C29" s="69" t="s">
        <v>1246</v>
      </c>
      <c r="D29" s="69" t="s">
        <v>1296</v>
      </c>
      <c r="E29" s="69" t="s">
        <v>1248</v>
      </c>
      <c r="F29" s="69" t="s">
        <v>1249</v>
      </c>
      <c r="G29" s="69" t="s">
        <v>1297</v>
      </c>
      <c r="H29" s="69" t="s">
        <v>1298</v>
      </c>
      <c r="I29" s="68"/>
      <c r="J29" s="68"/>
      <c r="K29" s="69" t="s">
        <v>1299</v>
      </c>
    </row>
    <row r="30" spans="1:11" ht="52">
      <c r="A30" s="68" t="s">
        <v>1300</v>
      </c>
      <c r="B30" s="69" t="s">
        <v>1245</v>
      </c>
      <c r="C30" s="69" t="s">
        <v>1246</v>
      </c>
      <c r="D30" s="69" t="s">
        <v>1301</v>
      </c>
      <c r="E30" s="69" t="s">
        <v>1248</v>
      </c>
      <c r="F30" s="69" t="s">
        <v>1249</v>
      </c>
      <c r="G30" s="69" t="s">
        <v>491</v>
      </c>
      <c r="H30" s="69" t="s">
        <v>1302</v>
      </c>
      <c r="I30" s="68"/>
      <c r="J30" s="68"/>
      <c r="K30" s="69" t="s">
        <v>1252</v>
      </c>
    </row>
    <row r="31" spans="1:11" ht="52">
      <c r="A31" s="68" t="s">
        <v>1303</v>
      </c>
      <c r="B31" s="69" t="s">
        <v>1245</v>
      </c>
      <c r="C31" s="69" t="s">
        <v>1246</v>
      </c>
      <c r="D31" s="69" t="s">
        <v>1304</v>
      </c>
      <c r="E31" s="69" t="s">
        <v>1248</v>
      </c>
      <c r="F31" s="69" t="s">
        <v>1249</v>
      </c>
      <c r="G31" s="69" t="s">
        <v>1305</v>
      </c>
      <c r="H31" s="69" t="s">
        <v>1306</v>
      </c>
      <c r="I31" s="68"/>
      <c r="J31" s="68"/>
      <c r="K31" s="69" t="s">
        <v>1299</v>
      </c>
    </row>
    <row r="32" spans="1:11" ht="52">
      <c r="A32" s="68" t="s">
        <v>1307</v>
      </c>
      <c r="B32" s="69" t="s">
        <v>1245</v>
      </c>
      <c r="C32" s="69" t="s">
        <v>1246</v>
      </c>
      <c r="D32" s="69" t="s">
        <v>1308</v>
      </c>
      <c r="E32" s="69" t="s">
        <v>1248</v>
      </c>
      <c r="F32" s="69" t="s">
        <v>1249</v>
      </c>
      <c r="G32" s="69" t="s">
        <v>1309</v>
      </c>
      <c r="H32" s="69" t="s">
        <v>1310</v>
      </c>
      <c r="I32" s="68"/>
      <c r="J32" s="68"/>
      <c r="K32" s="69" t="s">
        <v>1273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32" xr:uid="{00000000-0002-0000-03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topLeftCell="A27" workbookViewId="0">
      <selection activeCell="C32" sqref="C32"/>
    </sheetView>
  </sheetViews>
  <sheetFormatPr defaultRowHeight="12.5"/>
  <cols>
    <col min="1" max="1" width="14" customWidth="1"/>
    <col min="2" max="2" width="29.6328125" customWidth="1"/>
    <col min="3" max="3" width="22.7265625" customWidth="1"/>
    <col min="4" max="4" width="38" customWidth="1"/>
    <col min="5" max="5" width="34" customWidth="1"/>
    <col min="6" max="6" width="44" customWidth="1"/>
    <col min="7" max="7" width="30" customWidth="1"/>
    <col min="8" max="8" width="42" customWidth="1"/>
    <col min="9" max="10" width="17.36328125" customWidth="1"/>
    <col min="11" max="11" width="31" customWidth="1"/>
  </cols>
  <sheetData>
    <row r="1" spans="1:11" ht="28.5" customHeight="1">
      <c r="A1" s="41" t="s">
        <v>20</v>
      </c>
      <c r="B1" s="41"/>
      <c r="C1" s="41"/>
      <c r="D1" s="41"/>
      <c r="E1" s="41"/>
      <c r="F1" s="42"/>
      <c r="G1" s="42"/>
      <c r="H1" s="42"/>
      <c r="I1" s="42"/>
      <c r="J1" s="42"/>
      <c r="K1" s="42"/>
    </row>
    <row r="2" spans="1:11" ht="14.5">
      <c r="A2" s="43" t="s">
        <v>21</v>
      </c>
      <c r="B2" s="43"/>
      <c r="C2" s="44" t="s">
        <v>494</v>
      </c>
      <c r="D2" s="44"/>
      <c r="E2" s="44"/>
      <c r="F2" s="42"/>
      <c r="G2" s="42"/>
      <c r="H2" s="42"/>
      <c r="I2" s="42"/>
      <c r="J2" s="42"/>
      <c r="K2" s="42"/>
    </row>
    <row r="3" spans="1:11" ht="14.5">
      <c r="A3" s="43" t="s">
        <v>23</v>
      </c>
      <c r="B3" s="43"/>
      <c r="C3" s="38" t="s">
        <v>495</v>
      </c>
      <c r="D3" s="38"/>
      <c r="E3" s="38"/>
      <c r="F3" s="42"/>
      <c r="G3" s="42"/>
      <c r="H3" s="42"/>
      <c r="I3" s="42"/>
      <c r="J3" s="42"/>
      <c r="K3" s="42"/>
    </row>
    <row r="4" spans="1:11" ht="14.5">
      <c r="A4" s="43" t="s">
        <v>25</v>
      </c>
      <c r="B4" s="43"/>
      <c r="C4" s="38"/>
      <c r="D4" s="38"/>
      <c r="E4" s="38"/>
      <c r="F4" s="42"/>
      <c r="G4" s="42"/>
      <c r="H4" s="42"/>
      <c r="I4" s="42"/>
      <c r="J4" s="42"/>
      <c r="K4" s="42"/>
    </row>
    <row r="5" spans="1:11" ht="15" customHeight="1">
      <c r="A5" s="24" t="s">
        <v>26</v>
      </c>
      <c r="B5" s="25" t="s">
        <v>27</v>
      </c>
      <c r="C5" s="26" t="s">
        <v>28</v>
      </c>
      <c r="D5" s="27" t="s">
        <v>5</v>
      </c>
      <c r="E5" s="28" t="s">
        <v>29</v>
      </c>
      <c r="F5" s="42"/>
      <c r="G5" s="42"/>
      <c r="H5" s="42"/>
      <c r="I5" s="42"/>
      <c r="J5" s="42"/>
      <c r="K5" s="42"/>
    </row>
    <row r="6" spans="1:11" ht="15" customHeight="1">
      <c r="A6" s="110">
        <f>COUNTIF(I10:I46,"Passed")</f>
        <v>0</v>
      </c>
      <c r="B6" s="109">
        <f>COUNTIF(I10:I46,"Failed")</f>
        <v>0</v>
      </c>
      <c r="C6" s="109">
        <f>COUNTIF(I10:I46,"N/A")</f>
        <v>0</v>
      </c>
      <c r="D6" s="30">
        <f>E6-C6-A6-B6</f>
        <v>37</v>
      </c>
      <c r="E6" s="108">
        <f>COUNTA(A10:A46)</f>
        <v>37</v>
      </c>
      <c r="F6" s="42"/>
      <c r="G6" s="42"/>
      <c r="H6" s="42"/>
      <c r="I6" s="42"/>
      <c r="J6" s="42"/>
      <c r="K6" s="42"/>
    </row>
    <row r="7" spans="1:11" ht="15" customHeight="1">
      <c r="A7" s="107">
        <f>COUNTIF(J10:J46,"Passed")</f>
        <v>0</v>
      </c>
      <c r="B7" s="106">
        <f>COUNTIF(J10:J46,"Failed")</f>
        <v>0</v>
      </c>
      <c r="C7" s="106">
        <f>COUNTIF(J10:J46,"N/A")</f>
        <v>0</v>
      </c>
      <c r="D7" s="33">
        <f>E7-C7-A7-B7</f>
        <v>37</v>
      </c>
      <c r="E7" s="105">
        <f>COUNTA(A10:A46)</f>
        <v>37</v>
      </c>
      <c r="F7" s="42"/>
      <c r="G7" s="42"/>
      <c r="H7" s="42"/>
      <c r="I7" s="42"/>
      <c r="J7" s="42"/>
      <c r="K7" s="42"/>
    </row>
    <row r="8" spans="1:11" ht="10.5" customHeight="1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5" customHeight="1">
      <c r="A9" s="35" t="s">
        <v>30</v>
      </c>
      <c r="B9" s="35" t="s">
        <v>31</v>
      </c>
      <c r="C9" s="35" t="s">
        <v>32</v>
      </c>
      <c r="D9" s="35" t="s">
        <v>33</v>
      </c>
      <c r="E9" s="35" t="s">
        <v>34</v>
      </c>
      <c r="F9" s="35" t="s">
        <v>35</v>
      </c>
      <c r="G9" s="35" t="s">
        <v>36</v>
      </c>
      <c r="H9" s="35" t="s">
        <v>37</v>
      </c>
      <c r="I9" s="35" t="s">
        <v>38</v>
      </c>
      <c r="J9" s="35" t="s">
        <v>39</v>
      </c>
      <c r="K9" s="35" t="s">
        <v>40</v>
      </c>
    </row>
    <row r="10" spans="1:11" ht="65">
      <c r="A10" s="68" t="s">
        <v>496</v>
      </c>
      <c r="B10" s="69" t="s">
        <v>497</v>
      </c>
      <c r="C10" s="69" t="s">
        <v>498</v>
      </c>
      <c r="D10" s="69" t="s">
        <v>499</v>
      </c>
      <c r="E10" s="69" t="s">
        <v>500</v>
      </c>
      <c r="F10" s="69" t="s">
        <v>501</v>
      </c>
      <c r="G10" s="69" t="s">
        <v>502</v>
      </c>
      <c r="H10" s="69" t="s">
        <v>503</v>
      </c>
      <c r="I10" s="68"/>
      <c r="J10" s="68"/>
      <c r="K10" s="69" t="s">
        <v>504</v>
      </c>
    </row>
    <row r="11" spans="1:11" ht="65">
      <c r="A11" s="68" t="s">
        <v>505</v>
      </c>
      <c r="B11" s="69" t="s">
        <v>497</v>
      </c>
      <c r="C11" s="69" t="s">
        <v>498</v>
      </c>
      <c r="D11" s="69" t="s">
        <v>506</v>
      </c>
      <c r="E11" s="69" t="s">
        <v>500</v>
      </c>
      <c r="F11" s="69" t="s">
        <v>501</v>
      </c>
      <c r="G11" s="69" t="s">
        <v>507</v>
      </c>
      <c r="H11" s="69" t="s">
        <v>508</v>
      </c>
      <c r="I11" s="68"/>
      <c r="J11" s="68"/>
      <c r="K11" s="69" t="s">
        <v>509</v>
      </c>
    </row>
    <row r="12" spans="1:11" ht="65">
      <c r="A12" s="68" t="s">
        <v>510</v>
      </c>
      <c r="B12" s="69" t="s">
        <v>497</v>
      </c>
      <c r="C12" s="69" t="s">
        <v>498</v>
      </c>
      <c r="D12" s="69" t="s">
        <v>511</v>
      </c>
      <c r="E12" s="69" t="s">
        <v>500</v>
      </c>
      <c r="F12" s="69" t="s">
        <v>501</v>
      </c>
      <c r="G12" s="69" t="s">
        <v>512</v>
      </c>
      <c r="H12" s="69" t="s">
        <v>513</v>
      </c>
      <c r="I12" s="68"/>
      <c r="J12" s="68"/>
      <c r="K12" s="69" t="s">
        <v>509</v>
      </c>
    </row>
    <row r="13" spans="1:11" ht="65">
      <c r="A13" s="68" t="s">
        <v>514</v>
      </c>
      <c r="B13" s="69" t="s">
        <v>497</v>
      </c>
      <c r="C13" s="69" t="s">
        <v>498</v>
      </c>
      <c r="D13" s="69" t="s">
        <v>515</v>
      </c>
      <c r="E13" s="69" t="s">
        <v>500</v>
      </c>
      <c r="F13" s="69" t="s">
        <v>501</v>
      </c>
      <c r="G13" s="69" t="s">
        <v>516</v>
      </c>
      <c r="H13" s="69" t="s">
        <v>517</v>
      </c>
      <c r="I13" s="68"/>
      <c r="J13" s="68"/>
      <c r="K13" s="69" t="s">
        <v>509</v>
      </c>
    </row>
    <row r="14" spans="1:11" ht="65">
      <c r="A14" s="68" t="s">
        <v>518</v>
      </c>
      <c r="B14" s="69" t="s">
        <v>497</v>
      </c>
      <c r="C14" s="69" t="s">
        <v>498</v>
      </c>
      <c r="D14" s="69" t="s">
        <v>519</v>
      </c>
      <c r="E14" s="69" t="s">
        <v>500</v>
      </c>
      <c r="F14" s="69" t="s">
        <v>501</v>
      </c>
      <c r="G14" s="69" t="s">
        <v>520</v>
      </c>
      <c r="H14" s="69" t="s">
        <v>521</v>
      </c>
      <c r="I14" s="68"/>
      <c r="J14" s="68"/>
      <c r="K14" s="69" t="s">
        <v>509</v>
      </c>
    </row>
    <row r="15" spans="1:11" ht="65">
      <c r="A15" s="68" t="s">
        <v>522</v>
      </c>
      <c r="B15" s="69" t="s">
        <v>497</v>
      </c>
      <c r="C15" s="69" t="s">
        <v>498</v>
      </c>
      <c r="D15" s="69" t="s">
        <v>523</v>
      </c>
      <c r="E15" s="69" t="s">
        <v>500</v>
      </c>
      <c r="F15" s="69" t="s">
        <v>501</v>
      </c>
      <c r="G15" s="69" t="s">
        <v>524</v>
      </c>
      <c r="H15" s="69" t="s">
        <v>525</v>
      </c>
      <c r="I15" s="68"/>
      <c r="J15" s="68"/>
      <c r="K15" s="69" t="s">
        <v>509</v>
      </c>
    </row>
    <row r="16" spans="1:11" ht="65">
      <c r="A16" s="68" t="s">
        <v>526</v>
      </c>
      <c r="B16" s="69" t="s">
        <v>497</v>
      </c>
      <c r="C16" s="69" t="s">
        <v>498</v>
      </c>
      <c r="D16" s="69" t="s">
        <v>527</v>
      </c>
      <c r="E16" s="69" t="s">
        <v>500</v>
      </c>
      <c r="F16" s="69" t="s">
        <v>501</v>
      </c>
      <c r="G16" s="69" t="s">
        <v>528</v>
      </c>
      <c r="H16" s="69" t="s">
        <v>529</v>
      </c>
      <c r="I16" s="68"/>
      <c r="J16" s="68"/>
      <c r="K16" s="69" t="s">
        <v>509</v>
      </c>
    </row>
    <row r="17" spans="1:11" ht="65">
      <c r="A17" s="68" t="s">
        <v>530</v>
      </c>
      <c r="B17" s="69" t="s">
        <v>497</v>
      </c>
      <c r="C17" s="69" t="s">
        <v>498</v>
      </c>
      <c r="D17" s="69" t="s">
        <v>531</v>
      </c>
      <c r="E17" s="69" t="s">
        <v>500</v>
      </c>
      <c r="F17" s="69" t="s">
        <v>501</v>
      </c>
      <c r="G17" s="69" t="s">
        <v>532</v>
      </c>
      <c r="H17" s="69" t="s">
        <v>533</v>
      </c>
      <c r="I17" s="68"/>
      <c r="J17" s="68"/>
      <c r="K17" s="69" t="s">
        <v>504</v>
      </c>
    </row>
    <row r="18" spans="1:11" ht="65">
      <c r="A18" s="68" t="s">
        <v>534</v>
      </c>
      <c r="B18" s="69" t="s">
        <v>497</v>
      </c>
      <c r="C18" s="69" t="s">
        <v>498</v>
      </c>
      <c r="D18" s="69" t="s">
        <v>535</v>
      </c>
      <c r="E18" s="69" t="s">
        <v>500</v>
      </c>
      <c r="F18" s="69" t="s">
        <v>501</v>
      </c>
      <c r="G18" s="69" t="s">
        <v>536</v>
      </c>
      <c r="H18" s="69" t="s">
        <v>537</v>
      </c>
      <c r="I18" s="68"/>
      <c r="J18" s="68"/>
      <c r="K18" s="69" t="s">
        <v>509</v>
      </c>
    </row>
    <row r="19" spans="1:11" ht="65">
      <c r="A19" s="68" t="s">
        <v>538</v>
      </c>
      <c r="B19" s="69" t="s">
        <v>497</v>
      </c>
      <c r="C19" s="69" t="s">
        <v>498</v>
      </c>
      <c r="D19" s="69" t="s">
        <v>539</v>
      </c>
      <c r="E19" s="69" t="s">
        <v>500</v>
      </c>
      <c r="F19" s="69" t="s">
        <v>501</v>
      </c>
      <c r="G19" s="69" t="s">
        <v>540</v>
      </c>
      <c r="H19" s="69" t="s">
        <v>541</v>
      </c>
      <c r="I19" s="68"/>
      <c r="J19" s="68"/>
      <c r="K19" s="69" t="s">
        <v>509</v>
      </c>
    </row>
    <row r="20" spans="1:11" ht="65">
      <c r="A20" s="68" t="s">
        <v>542</v>
      </c>
      <c r="B20" s="69" t="s">
        <v>497</v>
      </c>
      <c r="C20" s="69" t="s">
        <v>498</v>
      </c>
      <c r="D20" s="69" t="s">
        <v>543</v>
      </c>
      <c r="E20" s="69" t="s">
        <v>500</v>
      </c>
      <c r="F20" s="69" t="s">
        <v>501</v>
      </c>
      <c r="G20" s="69" t="s">
        <v>544</v>
      </c>
      <c r="H20" s="69" t="s">
        <v>545</v>
      </c>
      <c r="I20" s="68"/>
      <c r="J20" s="68"/>
      <c r="K20" s="69" t="s">
        <v>509</v>
      </c>
    </row>
    <row r="21" spans="1:11" ht="65">
      <c r="A21" s="68" t="s">
        <v>546</v>
      </c>
      <c r="B21" s="69" t="s">
        <v>497</v>
      </c>
      <c r="C21" s="69" t="s">
        <v>498</v>
      </c>
      <c r="D21" s="69" t="s">
        <v>547</v>
      </c>
      <c r="E21" s="69" t="s">
        <v>500</v>
      </c>
      <c r="F21" s="69" t="s">
        <v>501</v>
      </c>
      <c r="G21" s="69" t="s">
        <v>548</v>
      </c>
      <c r="H21" s="69" t="s">
        <v>549</v>
      </c>
      <c r="I21" s="68"/>
      <c r="J21" s="68"/>
      <c r="K21" s="69" t="s">
        <v>509</v>
      </c>
    </row>
    <row r="22" spans="1:11" ht="65">
      <c r="A22" s="68" t="s">
        <v>550</v>
      </c>
      <c r="B22" s="69" t="s">
        <v>497</v>
      </c>
      <c r="C22" s="69" t="s">
        <v>498</v>
      </c>
      <c r="D22" s="69" t="s">
        <v>551</v>
      </c>
      <c r="E22" s="69" t="s">
        <v>500</v>
      </c>
      <c r="F22" s="69" t="s">
        <v>501</v>
      </c>
      <c r="G22" s="69" t="s">
        <v>491</v>
      </c>
      <c r="H22" s="69" t="s">
        <v>552</v>
      </c>
      <c r="I22" s="68"/>
      <c r="J22" s="68"/>
      <c r="K22" s="69" t="s">
        <v>509</v>
      </c>
    </row>
    <row r="23" spans="1:11" ht="52">
      <c r="A23" s="52" t="s">
        <v>399</v>
      </c>
      <c r="B23" s="52" t="s">
        <v>400</v>
      </c>
      <c r="C23" s="52" t="s">
        <v>401</v>
      </c>
      <c r="D23" s="52" t="s">
        <v>402</v>
      </c>
      <c r="E23" s="52" t="s">
        <v>403</v>
      </c>
      <c r="F23" s="70" t="s">
        <v>404</v>
      </c>
      <c r="G23" s="52" t="e">
        <f>- Có ACTIVE, INACTIVE và deleted_at khác NULL</f>
        <v>#NAME?</v>
      </c>
      <c r="H23" s="70" t="s">
        <v>405</v>
      </c>
      <c r="I23" s="52"/>
      <c r="J23" s="52"/>
      <c r="K23" s="52" t="s">
        <v>406</v>
      </c>
    </row>
    <row r="24" spans="1:11" ht="52">
      <c r="A24" s="52" t="s">
        <v>407</v>
      </c>
      <c r="B24" s="52" t="s">
        <v>400</v>
      </c>
      <c r="C24" s="52" t="s">
        <v>401</v>
      </c>
      <c r="D24" s="52" t="s">
        <v>408</v>
      </c>
      <c r="E24" s="52" t="s">
        <v>403</v>
      </c>
      <c r="F24" s="70" t="s">
        <v>404</v>
      </c>
      <c r="G24" s="52" t="s">
        <v>409</v>
      </c>
      <c r="H24" s="52" t="s">
        <v>410</v>
      </c>
      <c r="I24" s="52"/>
      <c r="J24" s="52"/>
      <c r="K24" s="52" t="s">
        <v>411</v>
      </c>
    </row>
    <row r="25" spans="1:11" ht="52">
      <c r="A25" s="52" t="s">
        <v>412</v>
      </c>
      <c r="B25" s="52" t="s">
        <v>400</v>
      </c>
      <c r="C25" s="52" t="s">
        <v>401</v>
      </c>
      <c r="D25" s="52" t="s">
        <v>413</v>
      </c>
      <c r="E25" s="52" t="s">
        <v>403</v>
      </c>
      <c r="F25" s="70" t="s">
        <v>404</v>
      </c>
      <c r="G25" s="52" t="s">
        <v>414</v>
      </c>
      <c r="H25" s="52" t="s">
        <v>415</v>
      </c>
      <c r="I25" s="52"/>
      <c r="J25" s="52"/>
      <c r="K25" s="52" t="s">
        <v>416</v>
      </c>
    </row>
    <row r="26" spans="1:11" ht="52">
      <c r="A26" s="52" t="s">
        <v>417</v>
      </c>
      <c r="B26" s="52" t="s">
        <v>400</v>
      </c>
      <c r="C26" s="52" t="s">
        <v>401</v>
      </c>
      <c r="D26" s="52" t="s">
        <v>418</v>
      </c>
      <c r="E26" s="52" t="s">
        <v>403</v>
      </c>
      <c r="F26" s="70" t="s">
        <v>404</v>
      </c>
      <c r="G26" s="52" t="e" cm="1">
        <f t="array" ref="G26">- status=ACTIVE</f>
        <v>#NAME?</v>
      </c>
      <c r="H26" s="52" t="s">
        <v>419</v>
      </c>
      <c r="I26" s="52"/>
      <c r="J26" s="52"/>
      <c r="K26" s="52" t="s">
        <v>411</v>
      </c>
    </row>
    <row r="27" spans="1:11" ht="52">
      <c r="A27" s="52" t="s">
        <v>420</v>
      </c>
      <c r="B27" s="52" t="s">
        <v>400</v>
      </c>
      <c r="C27" s="52" t="s">
        <v>401</v>
      </c>
      <c r="D27" s="52" t="s">
        <v>421</v>
      </c>
      <c r="E27" s="52" t="s">
        <v>403</v>
      </c>
      <c r="F27" s="70" t="s">
        <v>404</v>
      </c>
      <c r="G27" s="52" t="e" cm="1">
        <f t="array" ref="G27">- status=INACTIVE</f>
        <v>#NAME?</v>
      </c>
      <c r="H27" s="52" t="e" cm="1">
        <f t="array" ref="H27">- Chỉ hiển thị sản phẩm ngưng hoạt động.</f>
        <v>#NAME?</v>
      </c>
      <c r="I27" s="52"/>
      <c r="J27" s="52"/>
      <c r="K27" s="52" t="s">
        <v>411</v>
      </c>
    </row>
    <row r="28" spans="1:11" ht="52">
      <c r="A28" s="52" t="s">
        <v>422</v>
      </c>
      <c r="B28" s="52" t="s">
        <v>400</v>
      </c>
      <c r="C28" s="52" t="s">
        <v>401</v>
      </c>
      <c r="D28" s="52" t="s">
        <v>423</v>
      </c>
      <c r="E28" s="52" t="s">
        <v>403</v>
      </c>
      <c r="F28" s="70" t="s">
        <v>404</v>
      </c>
      <c r="G28" s="52" t="s">
        <v>424</v>
      </c>
      <c r="H28" s="52" t="s">
        <v>425</v>
      </c>
      <c r="I28" s="52"/>
      <c r="J28" s="52"/>
      <c r="K28" s="52" t="s">
        <v>411</v>
      </c>
    </row>
    <row r="29" spans="1:11" ht="52">
      <c r="A29" s="52" t="s">
        <v>426</v>
      </c>
      <c r="B29" s="52" t="s">
        <v>400</v>
      </c>
      <c r="C29" s="52" t="s">
        <v>401</v>
      </c>
      <c r="D29" s="52" t="s">
        <v>427</v>
      </c>
      <c r="E29" s="52" t="s">
        <v>403</v>
      </c>
      <c r="F29" s="70" t="s">
        <v>404</v>
      </c>
      <c r="G29" s="52" t="e" cm="1">
        <f t="array" ref="G29">- Đang áp dụng bộ lọc</f>
        <v>#NAME?</v>
      </c>
      <c r="H29" s="52" t="s">
        <v>428</v>
      </c>
      <c r="I29" s="52"/>
      <c r="J29" s="52"/>
      <c r="K29" s="52" t="s">
        <v>429</v>
      </c>
    </row>
    <row r="30" spans="1:11" ht="52">
      <c r="A30" s="52" t="s">
        <v>430</v>
      </c>
      <c r="B30" s="52" t="s">
        <v>400</v>
      </c>
      <c r="C30" s="52" t="s">
        <v>401</v>
      </c>
      <c r="D30" s="52" t="s">
        <v>431</v>
      </c>
      <c r="E30" s="52" t="s">
        <v>403</v>
      </c>
      <c r="F30" s="70" t="s">
        <v>404</v>
      </c>
      <c r="G30" s="52" t="e" cm="1">
        <f t="array" ref="G30">- không Có modal Đang mở</f>
        <v>#NAME?</v>
      </c>
      <c r="H30" s="52" t="s">
        <v>432</v>
      </c>
      <c r="I30" s="52"/>
      <c r="J30" s="52"/>
      <c r="K30" s="52" t="s">
        <v>429</v>
      </c>
    </row>
    <row r="31" spans="1:11" ht="52">
      <c r="A31" s="52" t="s">
        <v>433</v>
      </c>
      <c r="B31" s="52" t="s">
        <v>400</v>
      </c>
      <c r="C31" s="52" t="s">
        <v>401</v>
      </c>
      <c r="D31" s="52" t="s">
        <v>434</v>
      </c>
      <c r="E31" s="52" t="s">
        <v>403</v>
      </c>
      <c r="F31" s="70" t="s">
        <v>404</v>
      </c>
      <c r="G31" s="52" t="e" cm="1">
        <f t="array" ref="G31">- name=Cold Brew Test
- price=45000
- status=ACTIVE</f>
        <v>#NAME?</v>
      </c>
      <c r="H31" s="70" t="s">
        <v>435</v>
      </c>
      <c r="I31" s="52"/>
      <c r="J31" s="52"/>
      <c r="K31" s="52" t="s">
        <v>406</v>
      </c>
    </row>
    <row r="32" spans="1:11" ht="52">
      <c r="A32" s="52" t="s">
        <v>436</v>
      </c>
      <c r="B32" s="52" t="s">
        <v>400</v>
      </c>
      <c r="C32" s="52" t="s">
        <v>401</v>
      </c>
      <c r="D32" s="52" t="s">
        <v>437</v>
      </c>
      <c r="E32" s="52" t="s">
        <v>403</v>
      </c>
      <c r="F32" s="70" t="s">
        <v>404</v>
      </c>
      <c r="G32" s="52" t="s">
        <v>438</v>
      </c>
      <c r="H32" s="52" t="s">
        <v>439</v>
      </c>
      <c r="I32" s="52"/>
      <c r="J32" s="52"/>
      <c r="K32" s="52" t="s">
        <v>406</v>
      </c>
    </row>
    <row r="33" spans="1:11" ht="52">
      <c r="A33" s="52" t="s">
        <v>440</v>
      </c>
      <c r="B33" s="52" t="s">
        <v>400</v>
      </c>
      <c r="C33" s="52" t="s">
        <v>401</v>
      </c>
      <c r="D33" s="52" t="s">
        <v>441</v>
      </c>
      <c r="E33" s="52" t="s">
        <v>403</v>
      </c>
      <c r="F33" s="70" t="s">
        <v>404</v>
      </c>
      <c r="G33" s="52" t="s">
        <v>442</v>
      </c>
      <c r="H33" s="52" t="s">
        <v>443</v>
      </c>
      <c r="I33" s="52"/>
      <c r="J33" s="52"/>
      <c r="K33" s="52" t="s">
        <v>444</v>
      </c>
    </row>
    <row r="34" spans="1:11" ht="52">
      <c r="A34" s="52" t="s">
        <v>445</v>
      </c>
      <c r="B34" s="52" t="s">
        <v>400</v>
      </c>
      <c r="C34" s="52" t="s">
        <v>401</v>
      </c>
      <c r="D34" s="52" t="s">
        <v>446</v>
      </c>
      <c r="E34" s="52" t="s">
        <v>403</v>
      </c>
      <c r="F34" s="70" t="s">
        <v>404</v>
      </c>
      <c r="G34" s="52" t="s">
        <v>447</v>
      </c>
      <c r="H34" s="52" t="s">
        <v>448</v>
      </c>
      <c r="I34" s="52"/>
      <c r="J34" s="52"/>
      <c r="K34" s="52" t="s">
        <v>444</v>
      </c>
    </row>
    <row r="35" spans="1:11" ht="52">
      <c r="A35" s="52" t="s">
        <v>449</v>
      </c>
      <c r="B35" s="52" t="s">
        <v>400</v>
      </c>
      <c r="C35" s="52" t="s">
        <v>401</v>
      </c>
      <c r="D35" s="52" t="s">
        <v>450</v>
      </c>
      <c r="E35" s="52" t="s">
        <v>403</v>
      </c>
      <c r="F35" s="70" t="s">
        <v>404</v>
      </c>
      <c r="G35" s="52" t="s">
        <v>451</v>
      </c>
      <c r="H35" s="52" t="s">
        <v>452</v>
      </c>
      <c r="I35" s="52"/>
      <c r="J35" s="52"/>
      <c r="K35" s="52" t="s">
        <v>453</v>
      </c>
    </row>
    <row r="36" spans="1:11" ht="52">
      <c r="A36" s="52" t="s">
        <v>454</v>
      </c>
      <c r="B36" s="52" t="s">
        <v>400</v>
      </c>
      <c r="C36" s="52" t="s">
        <v>401</v>
      </c>
      <c r="D36" s="52" t="s">
        <v>455</v>
      </c>
      <c r="E36" s="52" t="s">
        <v>403</v>
      </c>
      <c r="F36" s="70" t="s">
        <v>404</v>
      </c>
      <c r="G36" s="52" t="s">
        <v>456</v>
      </c>
      <c r="H36" s="52" t="s">
        <v>457</v>
      </c>
      <c r="I36" s="52"/>
      <c r="J36" s="52"/>
      <c r="K36" s="52" t="s">
        <v>406</v>
      </c>
    </row>
    <row r="37" spans="1:11" ht="52">
      <c r="A37" s="52" t="s">
        <v>458</v>
      </c>
      <c r="B37" s="52" t="s">
        <v>400</v>
      </c>
      <c r="C37" s="52" t="s">
        <v>401</v>
      </c>
      <c r="D37" s="52" t="s">
        <v>459</v>
      </c>
      <c r="E37" s="52" t="s">
        <v>403</v>
      </c>
      <c r="F37" s="70" t="s">
        <v>404</v>
      </c>
      <c r="G37" s="52" t="s">
        <v>460</v>
      </c>
      <c r="H37" s="52" t="s">
        <v>457</v>
      </c>
      <c r="I37" s="52"/>
      <c r="J37" s="52"/>
      <c r="K37" s="52" t="s">
        <v>406</v>
      </c>
    </row>
    <row r="38" spans="1:11" ht="52">
      <c r="A38" s="52" t="s">
        <v>461</v>
      </c>
      <c r="B38" s="52" t="s">
        <v>400</v>
      </c>
      <c r="C38" s="52" t="s">
        <v>401</v>
      </c>
      <c r="D38" s="52" t="s">
        <v>462</v>
      </c>
      <c r="E38" s="52" t="s">
        <v>403</v>
      </c>
      <c r="F38" s="70" t="s">
        <v>404</v>
      </c>
      <c r="G38" s="52" t="s">
        <v>463</v>
      </c>
      <c r="H38" s="52" t="s">
        <v>464</v>
      </c>
      <c r="I38" s="52"/>
      <c r="J38" s="52"/>
      <c r="K38" s="52" t="s">
        <v>444</v>
      </c>
    </row>
    <row r="39" spans="1:11" ht="52">
      <c r="A39" s="52" t="s">
        <v>465</v>
      </c>
      <c r="B39" s="52" t="s">
        <v>400</v>
      </c>
      <c r="C39" s="52" t="s">
        <v>401</v>
      </c>
      <c r="D39" s="52" t="s">
        <v>466</v>
      </c>
      <c r="E39" s="52" t="s">
        <v>403</v>
      </c>
      <c r="F39" s="70" t="s">
        <v>404</v>
      </c>
      <c r="G39" s="52" t="e" cm="1">
        <f t="array" ref="G39">- status=DELETED</f>
        <v>#NAME?</v>
      </c>
      <c r="H39" s="52" t="s">
        <v>467</v>
      </c>
      <c r="I39" s="52"/>
      <c r="J39" s="52"/>
      <c r="K39" s="52" t="s">
        <v>468</v>
      </c>
    </row>
    <row r="40" spans="1:11" ht="52">
      <c r="A40" s="52" t="s">
        <v>469</v>
      </c>
      <c r="B40" s="52" t="s">
        <v>400</v>
      </c>
      <c r="C40" s="52" t="s">
        <v>401</v>
      </c>
      <c r="D40" s="52" t="s">
        <v>470</v>
      </c>
      <c r="E40" s="52" t="s">
        <v>403</v>
      </c>
      <c r="F40" s="70" t="s">
        <v>404</v>
      </c>
      <c r="G40" s="52" t="e" cm="1">
        <f t="array" ref="G40">- name=Americano Test hoặc Trà Đào Test</f>
        <v>#NAME?</v>
      </c>
      <c r="H40" s="52" t="s">
        <v>471</v>
      </c>
      <c r="I40" s="52"/>
      <c r="J40" s="52"/>
      <c r="K40" s="52" t="s">
        <v>472</v>
      </c>
    </row>
    <row r="41" spans="1:11" ht="52">
      <c r="A41" s="52" t="s">
        <v>473</v>
      </c>
      <c r="B41" s="52" t="s">
        <v>400</v>
      </c>
      <c r="C41" s="52" t="s">
        <v>401</v>
      </c>
      <c r="D41" s="52" t="s">
        <v>474</v>
      </c>
      <c r="E41" s="52" t="s">
        <v>403</v>
      </c>
      <c r="F41" s="70" t="s">
        <v>404</v>
      </c>
      <c r="G41" s="52" t="e" cm="1">
        <f t="array" ref="G41">- Chọn product hiện Có</f>
        <v>#NAME?</v>
      </c>
      <c r="H41" s="52" t="s">
        <v>475</v>
      </c>
      <c r="I41" s="52"/>
      <c r="J41" s="52"/>
      <c r="K41" s="52" t="s">
        <v>406</v>
      </c>
    </row>
    <row r="42" spans="1:11" ht="52">
      <c r="A42" s="52" t="s">
        <v>476</v>
      </c>
      <c r="B42" s="52" t="s">
        <v>400</v>
      </c>
      <c r="C42" s="52" t="s">
        <v>401</v>
      </c>
      <c r="D42" s="52" t="s">
        <v>477</v>
      </c>
      <c r="E42" s="52" t="s">
        <v>403</v>
      </c>
      <c r="F42" s="70" t="s">
        <v>404</v>
      </c>
      <c r="G42" s="52" t="e" cm="1">
        <f t="array" ref="G42">- product ACTIVE Có recipe</f>
        <v>#NAME?</v>
      </c>
      <c r="H42" s="52" t="s">
        <v>478</v>
      </c>
      <c r="I42" s="52"/>
      <c r="J42" s="52"/>
      <c r="K42" s="52" t="s">
        <v>406</v>
      </c>
    </row>
    <row r="43" spans="1:11" ht="52">
      <c r="A43" s="52" t="s">
        <v>479</v>
      </c>
      <c r="B43" s="52" t="s">
        <v>400</v>
      </c>
      <c r="C43" s="52" t="s">
        <v>401</v>
      </c>
      <c r="D43" s="52" t="s">
        <v>480</v>
      </c>
      <c r="E43" s="52" t="s">
        <v>403</v>
      </c>
      <c r="F43" s="70" t="s">
        <v>404</v>
      </c>
      <c r="G43" s="52" t="e" cm="1">
        <f t="array" ref="G43">- product A đổi name thành name của product B khác case</f>
        <v>#NAME?</v>
      </c>
      <c r="H43" s="52" t="s">
        <v>481</v>
      </c>
      <c r="I43" s="52"/>
      <c r="J43" s="52"/>
      <c r="K43" s="52" t="s">
        <v>406</v>
      </c>
    </row>
    <row r="44" spans="1:11" ht="52">
      <c r="A44" s="52" t="s">
        <v>482</v>
      </c>
      <c r="B44" s="52" t="s">
        <v>400</v>
      </c>
      <c r="C44" s="52" t="s">
        <v>401</v>
      </c>
      <c r="D44" s="52" t="s">
        <v>483</v>
      </c>
      <c r="E44" s="52" t="s">
        <v>403</v>
      </c>
      <c r="F44" s="70" t="s">
        <v>404</v>
      </c>
      <c r="G44" s="52" t="e" cm="1">
        <f t="array" ref="G44">- product chưa được xóa</f>
        <v>#NAME?</v>
      </c>
      <c r="H44" s="70" t="s">
        <v>484</v>
      </c>
      <c r="I44" s="52"/>
      <c r="J44" s="52"/>
      <c r="K44" s="52" t="s">
        <v>406</v>
      </c>
    </row>
    <row r="45" spans="1:11" ht="52">
      <c r="A45" s="52" t="s">
        <v>485</v>
      </c>
      <c r="B45" s="52" t="s">
        <v>400</v>
      </c>
      <c r="C45" s="52" t="s">
        <v>401</v>
      </c>
      <c r="D45" s="52" t="s">
        <v>486</v>
      </c>
      <c r="E45" s="52" t="s">
        <v>403</v>
      </c>
      <c r="F45" s="70" t="s">
        <v>404</v>
      </c>
      <c r="G45" s="52" t="e" cm="1">
        <f t="array" ref="G45">- product Đã deleted_at</f>
        <v>#NAME?</v>
      </c>
      <c r="H45" s="52" t="s">
        <v>487</v>
      </c>
      <c r="I45" s="52"/>
      <c r="J45" s="52"/>
      <c r="K45" s="52" t="s">
        <v>488</v>
      </c>
    </row>
    <row r="46" spans="1:11" ht="52">
      <c r="A46" s="52" t="s">
        <v>489</v>
      </c>
      <c r="B46" s="52" t="s">
        <v>400</v>
      </c>
      <c r="C46" s="52" t="s">
        <v>401</v>
      </c>
      <c r="D46" s="52" t="s">
        <v>490</v>
      </c>
      <c r="E46" s="52" t="s">
        <v>403</v>
      </c>
      <c r="F46" s="70" t="s">
        <v>404</v>
      </c>
      <c r="G46" s="52" t="e" cm="1">
        <f t="array" ref="G46">- Token STAFF</f>
        <v>#NAME?</v>
      </c>
      <c r="H46" s="52" t="s">
        <v>492</v>
      </c>
      <c r="I46" s="52"/>
      <c r="J46" s="52"/>
      <c r="K46" s="52" t="s">
        <v>493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46" xr:uid="{00000000-0002-0000-05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opLeftCell="A21" workbookViewId="0">
      <selection activeCell="D26" sqref="D26"/>
    </sheetView>
  </sheetViews>
  <sheetFormatPr defaultRowHeight="12.5"/>
  <cols>
    <col min="1" max="1" width="14" customWidth="1"/>
    <col min="2" max="2" width="29.6328125" customWidth="1"/>
    <col min="3" max="3" width="22.7265625" customWidth="1"/>
    <col min="4" max="4" width="38" customWidth="1"/>
    <col min="5" max="5" width="34" customWidth="1"/>
    <col min="6" max="6" width="44" customWidth="1"/>
    <col min="7" max="7" width="30" customWidth="1"/>
    <col min="8" max="8" width="42" customWidth="1"/>
    <col min="9" max="10" width="17.36328125" customWidth="1"/>
    <col min="11" max="11" width="31" customWidth="1"/>
  </cols>
  <sheetData>
    <row r="1" spans="1:11" ht="28.5" customHeight="1">
      <c r="A1" s="41" t="s">
        <v>20</v>
      </c>
      <c r="B1" s="41"/>
      <c r="C1" s="41"/>
      <c r="D1" s="41"/>
      <c r="E1" s="41"/>
      <c r="F1" s="42"/>
      <c r="G1" s="42"/>
      <c r="H1" s="42"/>
      <c r="I1" s="42"/>
      <c r="J1" s="42"/>
      <c r="K1" s="42"/>
    </row>
    <row r="2" spans="1:11" ht="14.5">
      <c r="A2" s="43" t="s">
        <v>21</v>
      </c>
      <c r="B2" s="43"/>
      <c r="C2" s="44" t="s">
        <v>553</v>
      </c>
      <c r="D2" s="44"/>
      <c r="E2" s="44"/>
      <c r="F2" s="42"/>
      <c r="G2" s="42"/>
      <c r="H2" s="42"/>
      <c r="I2" s="42"/>
      <c r="J2" s="42"/>
      <c r="K2" s="42"/>
    </row>
    <row r="3" spans="1:11" ht="14.5">
      <c r="A3" s="43" t="s">
        <v>23</v>
      </c>
      <c r="B3" s="43"/>
      <c r="C3" s="38" t="s">
        <v>554</v>
      </c>
      <c r="D3" s="38"/>
      <c r="E3" s="38"/>
      <c r="F3" s="42"/>
      <c r="G3" s="42"/>
      <c r="H3" s="42"/>
      <c r="I3" s="42"/>
      <c r="J3" s="42"/>
      <c r="K3" s="42"/>
    </row>
    <row r="4" spans="1:11" ht="14.5">
      <c r="A4" s="43" t="s">
        <v>25</v>
      </c>
      <c r="B4" s="43"/>
      <c r="C4" s="38"/>
      <c r="D4" s="38"/>
      <c r="E4" s="38"/>
      <c r="F4" s="42"/>
      <c r="G4" s="42"/>
      <c r="H4" s="42"/>
      <c r="I4" s="42"/>
      <c r="J4" s="42"/>
      <c r="K4" s="42"/>
    </row>
    <row r="5" spans="1:11" ht="15" customHeight="1">
      <c r="A5" s="24" t="s">
        <v>26</v>
      </c>
      <c r="B5" s="25" t="s">
        <v>27</v>
      </c>
      <c r="C5" s="26" t="s">
        <v>28</v>
      </c>
      <c r="D5" s="27" t="s">
        <v>5</v>
      </c>
      <c r="E5" s="28" t="s">
        <v>29</v>
      </c>
      <c r="F5" s="42"/>
      <c r="G5" s="42"/>
      <c r="H5" s="42"/>
      <c r="I5" s="42"/>
      <c r="J5" s="42"/>
      <c r="K5" s="42"/>
    </row>
    <row r="6" spans="1:11" ht="15" customHeight="1">
      <c r="A6" s="29">
        <f>COUNTIF(I10:I26,"Passed")</f>
        <v>0</v>
      </c>
      <c r="B6" s="30">
        <f>COUNTIF(I10:I26,"Failed")</f>
        <v>0</v>
      </c>
      <c r="C6" s="30">
        <f>COUNTIF(I10:I26,"N/A")</f>
        <v>0</v>
      </c>
      <c r="D6" s="30">
        <f>E6-C6-A6-B6</f>
        <v>17</v>
      </c>
      <c r="E6" s="31">
        <f>COUNTA(A10:A26)</f>
        <v>17</v>
      </c>
      <c r="F6" s="42"/>
      <c r="G6" s="42"/>
      <c r="H6" s="42"/>
      <c r="I6" s="42"/>
      <c r="J6" s="42"/>
      <c r="K6" s="42"/>
    </row>
    <row r="7" spans="1:11" ht="15" customHeight="1">
      <c r="A7" s="32">
        <f>COUNTIF(J10:J26,"Passed")</f>
        <v>0</v>
      </c>
      <c r="B7" s="33">
        <f>COUNTIF(J10:J26,"Failed")</f>
        <v>0</v>
      </c>
      <c r="C7" s="33">
        <f>COUNTIF(J10:J26,"N/A")</f>
        <v>0</v>
      </c>
      <c r="D7" s="33">
        <f>E7-C7-A7-B7</f>
        <v>17</v>
      </c>
      <c r="E7" s="34">
        <f>COUNTA(A10:A26)</f>
        <v>17</v>
      </c>
      <c r="F7" s="42"/>
      <c r="G7" s="42"/>
      <c r="H7" s="42"/>
      <c r="I7" s="42"/>
      <c r="J7" s="42"/>
      <c r="K7" s="42"/>
    </row>
    <row r="8" spans="1:11" ht="10.5" customHeight="1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5" customHeight="1">
      <c r="A9" s="35" t="s">
        <v>30</v>
      </c>
      <c r="B9" s="35" t="s">
        <v>31</v>
      </c>
      <c r="C9" s="35" t="s">
        <v>32</v>
      </c>
      <c r="D9" s="35" t="s">
        <v>33</v>
      </c>
      <c r="E9" s="35" t="s">
        <v>34</v>
      </c>
      <c r="F9" s="35" t="s">
        <v>35</v>
      </c>
      <c r="G9" s="35" t="s">
        <v>36</v>
      </c>
      <c r="H9" s="35" t="s">
        <v>37</v>
      </c>
      <c r="I9" s="35" t="s">
        <v>38</v>
      </c>
      <c r="J9" s="35" t="s">
        <v>39</v>
      </c>
      <c r="K9" s="35" t="s">
        <v>40</v>
      </c>
    </row>
    <row r="10" spans="1:11" ht="32" customHeight="1">
      <c r="A10" s="37" t="s">
        <v>555</v>
      </c>
      <c r="B10" s="36" t="s">
        <v>556</v>
      </c>
      <c r="C10" s="36" t="s">
        <v>557</v>
      </c>
      <c r="D10" s="36" t="s">
        <v>558</v>
      </c>
      <c r="E10" s="36" t="s">
        <v>559</v>
      </c>
      <c r="F10" s="36" t="s">
        <v>560</v>
      </c>
      <c r="G10" s="36" t="s">
        <v>561</v>
      </c>
      <c r="H10" s="36" t="s">
        <v>562</v>
      </c>
      <c r="I10" s="37"/>
      <c r="J10" s="37"/>
      <c r="K10" s="36" t="s">
        <v>563</v>
      </c>
    </row>
    <row r="11" spans="1:11" ht="32" customHeight="1">
      <c r="A11" s="37" t="s">
        <v>564</v>
      </c>
      <c r="B11" s="36" t="s">
        <v>556</v>
      </c>
      <c r="C11" s="36" t="s">
        <v>557</v>
      </c>
      <c r="D11" s="36" t="s">
        <v>565</v>
      </c>
      <c r="E11" s="36" t="s">
        <v>559</v>
      </c>
      <c r="F11" s="36" t="s">
        <v>560</v>
      </c>
      <c r="G11" s="36" t="s">
        <v>566</v>
      </c>
      <c r="H11" s="36" t="s">
        <v>567</v>
      </c>
      <c r="I11" s="37"/>
      <c r="J11" s="37"/>
      <c r="K11" s="36" t="s">
        <v>568</v>
      </c>
    </row>
    <row r="12" spans="1:11" ht="32" customHeight="1">
      <c r="A12" s="37" t="s">
        <v>569</v>
      </c>
      <c r="B12" s="36" t="s">
        <v>556</v>
      </c>
      <c r="C12" s="36" t="s">
        <v>557</v>
      </c>
      <c r="D12" s="36" t="s">
        <v>570</v>
      </c>
      <c r="E12" s="36" t="s">
        <v>559</v>
      </c>
      <c r="F12" s="36" t="s">
        <v>560</v>
      </c>
      <c r="G12" s="36" t="s">
        <v>571</v>
      </c>
      <c r="H12" s="36" t="s">
        <v>572</v>
      </c>
      <c r="I12" s="37"/>
      <c r="J12" s="37"/>
      <c r="K12" s="36" t="s">
        <v>563</v>
      </c>
    </row>
    <row r="13" spans="1:11" ht="32" customHeight="1">
      <c r="A13" s="37" t="s">
        <v>573</v>
      </c>
      <c r="B13" s="36" t="s">
        <v>556</v>
      </c>
      <c r="C13" s="36" t="s">
        <v>557</v>
      </c>
      <c r="D13" s="36" t="s">
        <v>574</v>
      </c>
      <c r="E13" s="36" t="s">
        <v>559</v>
      </c>
      <c r="F13" s="36" t="s">
        <v>560</v>
      </c>
      <c r="G13" s="36" t="s">
        <v>575</v>
      </c>
      <c r="H13" s="36" t="s">
        <v>576</v>
      </c>
      <c r="I13" s="37"/>
      <c r="J13" s="37"/>
      <c r="K13" s="36" t="s">
        <v>568</v>
      </c>
    </row>
    <row r="14" spans="1:11" ht="32" customHeight="1">
      <c r="A14" s="37" t="s">
        <v>577</v>
      </c>
      <c r="B14" s="36" t="s">
        <v>556</v>
      </c>
      <c r="C14" s="36" t="s">
        <v>557</v>
      </c>
      <c r="D14" s="36" t="s">
        <v>578</v>
      </c>
      <c r="E14" s="36" t="s">
        <v>559</v>
      </c>
      <c r="F14" s="36" t="s">
        <v>560</v>
      </c>
      <c r="G14" s="36" t="s">
        <v>579</v>
      </c>
      <c r="H14" s="36" t="s">
        <v>580</v>
      </c>
      <c r="I14" s="37"/>
      <c r="J14" s="37"/>
      <c r="K14" s="36" t="s">
        <v>568</v>
      </c>
    </row>
    <row r="15" spans="1:11" ht="32" customHeight="1">
      <c r="A15" s="37" t="s">
        <v>581</v>
      </c>
      <c r="B15" s="36" t="s">
        <v>556</v>
      </c>
      <c r="C15" s="36" t="s">
        <v>557</v>
      </c>
      <c r="D15" s="36" t="s">
        <v>582</v>
      </c>
      <c r="E15" s="36" t="s">
        <v>559</v>
      </c>
      <c r="F15" s="36" t="s">
        <v>560</v>
      </c>
      <c r="G15" s="36" t="s">
        <v>583</v>
      </c>
      <c r="H15" s="36" t="s">
        <v>584</v>
      </c>
      <c r="I15" s="37"/>
      <c r="J15" s="37"/>
      <c r="K15" s="36" t="s">
        <v>563</v>
      </c>
    </row>
    <row r="16" spans="1:11" ht="32" customHeight="1">
      <c r="A16" s="37" t="s">
        <v>585</v>
      </c>
      <c r="B16" s="36" t="s">
        <v>556</v>
      </c>
      <c r="C16" s="36" t="s">
        <v>557</v>
      </c>
      <c r="D16" s="36" t="s">
        <v>586</v>
      </c>
      <c r="E16" s="36" t="s">
        <v>559</v>
      </c>
      <c r="F16" s="36" t="s">
        <v>560</v>
      </c>
      <c r="G16" s="36" t="s">
        <v>587</v>
      </c>
      <c r="H16" s="36" t="s">
        <v>467</v>
      </c>
      <c r="I16" s="37"/>
      <c r="J16" s="37"/>
      <c r="K16" s="36" t="s">
        <v>568</v>
      </c>
    </row>
    <row r="17" spans="1:11" ht="32" customHeight="1">
      <c r="A17" s="37" t="s">
        <v>588</v>
      </c>
      <c r="B17" s="36" t="s">
        <v>556</v>
      </c>
      <c r="C17" s="36" t="s">
        <v>557</v>
      </c>
      <c r="D17" s="36" t="s">
        <v>589</v>
      </c>
      <c r="E17" s="36" t="s">
        <v>559</v>
      </c>
      <c r="F17" s="36" t="s">
        <v>560</v>
      </c>
      <c r="G17" s="36" t="s">
        <v>590</v>
      </c>
      <c r="H17" s="36" t="s">
        <v>591</v>
      </c>
      <c r="I17" s="37"/>
      <c r="J17" s="37"/>
      <c r="K17" s="36" t="s">
        <v>563</v>
      </c>
    </row>
    <row r="18" spans="1:11" ht="32" customHeight="1">
      <c r="A18" s="37" t="s">
        <v>592</v>
      </c>
      <c r="B18" s="36" t="s">
        <v>556</v>
      </c>
      <c r="C18" s="36" t="s">
        <v>557</v>
      </c>
      <c r="D18" s="36" t="s">
        <v>593</v>
      </c>
      <c r="E18" s="36" t="s">
        <v>559</v>
      </c>
      <c r="F18" s="36" t="s">
        <v>560</v>
      </c>
      <c r="G18" s="36" t="s">
        <v>594</v>
      </c>
      <c r="H18" s="36" t="s">
        <v>595</v>
      </c>
      <c r="I18" s="37"/>
      <c r="J18" s="37"/>
      <c r="K18" s="36" t="s">
        <v>563</v>
      </c>
    </row>
    <row r="19" spans="1:11" ht="32" customHeight="1">
      <c r="A19" s="37" t="s">
        <v>596</v>
      </c>
      <c r="B19" s="36" t="s">
        <v>556</v>
      </c>
      <c r="C19" s="36" t="s">
        <v>557</v>
      </c>
      <c r="D19" s="36" t="s">
        <v>597</v>
      </c>
      <c r="E19" s="36" t="s">
        <v>559</v>
      </c>
      <c r="F19" s="36" t="s">
        <v>560</v>
      </c>
      <c r="G19" s="36" t="s">
        <v>598</v>
      </c>
      <c r="H19" s="36" t="s">
        <v>599</v>
      </c>
      <c r="I19" s="37"/>
      <c r="J19" s="37"/>
      <c r="K19" s="36" t="s">
        <v>600</v>
      </c>
    </row>
    <row r="20" spans="1:11" ht="32" customHeight="1">
      <c r="A20" s="37" t="s">
        <v>601</v>
      </c>
      <c r="B20" s="36" t="s">
        <v>556</v>
      </c>
      <c r="C20" s="36" t="s">
        <v>557</v>
      </c>
      <c r="D20" s="36" t="s">
        <v>602</v>
      </c>
      <c r="E20" s="36" t="s">
        <v>559</v>
      </c>
      <c r="F20" s="36" t="s">
        <v>560</v>
      </c>
      <c r="G20" s="36" t="s">
        <v>603</v>
      </c>
      <c r="H20" s="36" t="s">
        <v>604</v>
      </c>
      <c r="I20" s="37"/>
      <c r="J20" s="37"/>
      <c r="K20" s="36" t="s">
        <v>563</v>
      </c>
    </row>
    <row r="21" spans="1:11" ht="32" customHeight="1">
      <c r="A21" s="37" t="s">
        <v>605</v>
      </c>
      <c r="B21" s="36" t="s">
        <v>556</v>
      </c>
      <c r="C21" s="36" t="s">
        <v>557</v>
      </c>
      <c r="D21" s="36" t="s">
        <v>606</v>
      </c>
      <c r="E21" s="36" t="s">
        <v>559</v>
      </c>
      <c r="F21" s="36" t="s">
        <v>560</v>
      </c>
      <c r="G21" s="36" t="s">
        <v>607</v>
      </c>
      <c r="H21" s="36" t="s">
        <v>608</v>
      </c>
      <c r="I21" s="37"/>
      <c r="J21" s="37"/>
      <c r="K21" s="36" t="s">
        <v>563</v>
      </c>
    </row>
    <row r="22" spans="1:11" ht="32" customHeight="1">
      <c r="A22" s="37" t="s">
        <v>609</v>
      </c>
      <c r="B22" s="36" t="s">
        <v>556</v>
      </c>
      <c r="C22" s="36" t="s">
        <v>557</v>
      </c>
      <c r="D22" s="36" t="s">
        <v>610</v>
      </c>
      <c r="E22" s="36" t="s">
        <v>559</v>
      </c>
      <c r="F22" s="36" t="s">
        <v>560</v>
      </c>
      <c r="G22" s="36" t="s">
        <v>611</v>
      </c>
      <c r="H22" s="36" t="s">
        <v>612</v>
      </c>
      <c r="I22" s="37"/>
      <c r="J22" s="37"/>
      <c r="K22" s="36" t="s">
        <v>568</v>
      </c>
    </row>
    <row r="23" spans="1:11" ht="32" customHeight="1">
      <c r="A23" s="37" t="s">
        <v>613</v>
      </c>
      <c r="B23" s="36" t="s">
        <v>556</v>
      </c>
      <c r="C23" s="36" t="s">
        <v>557</v>
      </c>
      <c r="D23" s="36" t="s">
        <v>614</v>
      </c>
      <c r="E23" s="36" t="s">
        <v>559</v>
      </c>
      <c r="F23" s="36" t="s">
        <v>560</v>
      </c>
      <c r="G23" s="36" t="s">
        <v>615</v>
      </c>
      <c r="H23" s="36" t="s">
        <v>616</v>
      </c>
      <c r="I23" s="37"/>
      <c r="J23" s="37"/>
      <c r="K23" s="36" t="s">
        <v>563</v>
      </c>
    </row>
    <row r="24" spans="1:11" ht="32" customHeight="1">
      <c r="A24" s="37" t="s">
        <v>617</v>
      </c>
      <c r="B24" s="36" t="s">
        <v>556</v>
      </c>
      <c r="C24" s="36" t="s">
        <v>557</v>
      </c>
      <c r="D24" s="36" t="s">
        <v>618</v>
      </c>
      <c r="E24" s="36" t="s">
        <v>559</v>
      </c>
      <c r="F24" s="36" t="s">
        <v>560</v>
      </c>
      <c r="G24" s="36" t="s">
        <v>619</v>
      </c>
      <c r="H24" s="36" t="s">
        <v>620</v>
      </c>
      <c r="I24" s="37"/>
      <c r="J24" s="37"/>
      <c r="K24" s="36" t="s">
        <v>563</v>
      </c>
    </row>
    <row r="25" spans="1:11" ht="32" customHeight="1">
      <c r="A25" s="37" t="s">
        <v>621</v>
      </c>
      <c r="B25" s="36" t="s">
        <v>556</v>
      </c>
      <c r="C25" s="36" t="s">
        <v>557</v>
      </c>
      <c r="D25" s="36" t="s">
        <v>622</v>
      </c>
      <c r="E25" s="36" t="s">
        <v>559</v>
      </c>
      <c r="F25" s="36" t="s">
        <v>560</v>
      </c>
      <c r="G25" s="36" t="s">
        <v>623</v>
      </c>
      <c r="H25" s="36" t="s">
        <v>624</v>
      </c>
      <c r="I25" s="37"/>
      <c r="J25" s="37"/>
      <c r="K25" s="36" t="s">
        <v>563</v>
      </c>
    </row>
    <row r="26" spans="1:11" ht="32" customHeight="1">
      <c r="A26" s="37" t="s">
        <v>625</v>
      </c>
      <c r="B26" s="36" t="s">
        <v>556</v>
      </c>
      <c r="C26" s="36" t="s">
        <v>557</v>
      </c>
      <c r="D26" s="36" t="s">
        <v>626</v>
      </c>
      <c r="E26" s="36" t="s">
        <v>559</v>
      </c>
      <c r="F26" s="36" t="s">
        <v>560</v>
      </c>
      <c r="G26" s="36" t="s">
        <v>491</v>
      </c>
      <c r="H26" s="36" t="s">
        <v>627</v>
      </c>
      <c r="I26" s="37"/>
      <c r="J26" s="37"/>
      <c r="K26" s="36" t="s">
        <v>563</v>
      </c>
    </row>
    <row r="27" spans="1:11" ht="65">
      <c r="A27" s="68" t="s">
        <v>628</v>
      </c>
      <c r="B27" s="69" t="s">
        <v>629</v>
      </c>
      <c r="C27" s="69" t="s">
        <v>630</v>
      </c>
      <c r="D27" s="69" t="s">
        <v>631</v>
      </c>
      <c r="E27" s="69" t="s">
        <v>632</v>
      </c>
      <c r="F27" s="69" t="s">
        <v>633</v>
      </c>
      <c r="G27" s="69" t="s">
        <v>634</v>
      </c>
      <c r="H27" s="69" t="s">
        <v>635</v>
      </c>
      <c r="I27" s="37"/>
      <c r="J27" s="37"/>
      <c r="K27" s="36" t="s">
        <v>636</v>
      </c>
    </row>
    <row r="28" spans="1:11" ht="65">
      <c r="A28" s="68" t="s">
        <v>637</v>
      </c>
      <c r="B28" s="69" t="s">
        <v>629</v>
      </c>
      <c r="C28" s="69" t="s">
        <v>630</v>
      </c>
      <c r="D28" s="69" t="s">
        <v>638</v>
      </c>
      <c r="E28" s="69" t="s">
        <v>632</v>
      </c>
      <c r="F28" s="69" t="s">
        <v>633</v>
      </c>
      <c r="G28" s="69" t="s">
        <v>639</v>
      </c>
      <c r="H28" s="69" t="s">
        <v>640</v>
      </c>
      <c r="I28" s="37"/>
      <c r="J28" s="37"/>
      <c r="K28" s="36" t="s">
        <v>641</v>
      </c>
    </row>
    <row r="29" spans="1:11" ht="65">
      <c r="A29" s="68" t="s">
        <v>642</v>
      </c>
      <c r="B29" s="69" t="s">
        <v>629</v>
      </c>
      <c r="C29" s="69" t="s">
        <v>630</v>
      </c>
      <c r="D29" s="69" t="s">
        <v>643</v>
      </c>
      <c r="E29" s="69" t="s">
        <v>632</v>
      </c>
      <c r="F29" s="69" t="s">
        <v>633</v>
      </c>
      <c r="G29" s="69" t="s">
        <v>644</v>
      </c>
      <c r="H29" s="69" t="s">
        <v>645</v>
      </c>
      <c r="I29" s="37"/>
      <c r="J29" s="37"/>
      <c r="K29" s="36" t="s">
        <v>636</v>
      </c>
    </row>
    <row r="30" spans="1:11" ht="65">
      <c r="A30" s="68" t="s">
        <v>646</v>
      </c>
      <c r="B30" s="69" t="s">
        <v>629</v>
      </c>
      <c r="C30" s="69" t="s">
        <v>630</v>
      </c>
      <c r="D30" s="69" t="s">
        <v>647</v>
      </c>
      <c r="E30" s="69" t="s">
        <v>632</v>
      </c>
      <c r="F30" s="69" t="s">
        <v>633</v>
      </c>
      <c r="G30" s="69" t="s">
        <v>648</v>
      </c>
      <c r="H30" s="69" t="s">
        <v>649</v>
      </c>
      <c r="I30" s="37"/>
      <c r="J30" s="37"/>
      <c r="K30" s="36" t="s">
        <v>636</v>
      </c>
    </row>
    <row r="31" spans="1:11" ht="65">
      <c r="A31" s="68" t="s">
        <v>650</v>
      </c>
      <c r="B31" s="69" t="s">
        <v>629</v>
      </c>
      <c r="C31" s="69" t="s">
        <v>630</v>
      </c>
      <c r="D31" s="69" t="s">
        <v>651</v>
      </c>
      <c r="E31" s="69" t="s">
        <v>632</v>
      </c>
      <c r="F31" s="69" t="s">
        <v>633</v>
      </c>
      <c r="G31" s="69" t="s">
        <v>652</v>
      </c>
      <c r="H31" s="69" t="s">
        <v>653</v>
      </c>
      <c r="I31" s="37"/>
      <c r="J31" s="37"/>
      <c r="K31" s="36" t="s">
        <v>654</v>
      </c>
    </row>
    <row r="32" spans="1:11" ht="65">
      <c r="A32" s="68" t="s">
        <v>655</v>
      </c>
      <c r="B32" s="69" t="s">
        <v>629</v>
      </c>
      <c r="C32" s="69" t="s">
        <v>630</v>
      </c>
      <c r="D32" s="69" t="s">
        <v>656</v>
      </c>
      <c r="E32" s="69" t="s">
        <v>632</v>
      </c>
      <c r="F32" s="69" t="s">
        <v>633</v>
      </c>
      <c r="G32" s="69" t="s">
        <v>657</v>
      </c>
      <c r="H32" s="69" t="s">
        <v>658</v>
      </c>
      <c r="I32" s="37"/>
      <c r="J32" s="37"/>
      <c r="K32" s="36" t="s">
        <v>654</v>
      </c>
    </row>
    <row r="33" spans="1:11" ht="65">
      <c r="A33" s="68" t="s">
        <v>659</v>
      </c>
      <c r="B33" s="69" t="s">
        <v>629</v>
      </c>
      <c r="C33" s="69" t="s">
        <v>630</v>
      </c>
      <c r="D33" s="69" t="s">
        <v>660</v>
      </c>
      <c r="E33" s="69" t="s">
        <v>632</v>
      </c>
      <c r="F33" s="69" t="s">
        <v>633</v>
      </c>
      <c r="G33" s="69" t="s">
        <v>661</v>
      </c>
      <c r="H33" s="69" t="s">
        <v>662</v>
      </c>
      <c r="I33" s="37"/>
      <c r="J33" s="37"/>
      <c r="K33" s="36" t="s">
        <v>663</v>
      </c>
    </row>
    <row r="34" spans="1:11" ht="65">
      <c r="A34" s="68" t="s">
        <v>664</v>
      </c>
      <c r="B34" s="69" t="s">
        <v>629</v>
      </c>
      <c r="C34" s="69" t="s">
        <v>630</v>
      </c>
      <c r="D34" s="69" t="s">
        <v>665</v>
      </c>
      <c r="E34" s="69" t="s">
        <v>632</v>
      </c>
      <c r="F34" s="69" t="s">
        <v>633</v>
      </c>
      <c r="G34" s="69" t="s">
        <v>666</v>
      </c>
      <c r="H34" s="69" t="s">
        <v>667</v>
      </c>
      <c r="I34" s="37"/>
      <c r="J34" s="37"/>
      <c r="K34" s="36" t="s">
        <v>668</v>
      </c>
    </row>
    <row r="35" spans="1:11" ht="65">
      <c r="A35" s="68" t="s">
        <v>669</v>
      </c>
      <c r="B35" s="69" t="s">
        <v>629</v>
      </c>
      <c r="C35" s="69" t="s">
        <v>630</v>
      </c>
      <c r="D35" s="69" t="s">
        <v>670</v>
      </c>
      <c r="E35" s="69" t="s">
        <v>632</v>
      </c>
      <c r="F35" s="69" t="s">
        <v>633</v>
      </c>
      <c r="G35" s="69" t="s">
        <v>671</v>
      </c>
      <c r="H35" s="69" t="s">
        <v>672</v>
      </c>
      <c r="I35" s="37"/>
      <c r="J35" s="37"/>
      <c r="K35" s="36" t="s">
        <v>673</v>
      </c>
    </row>
    <row r="36" spans="1:11" ht="65">
      <c r="A36" s="68" t="s">
        <v>674</v>
      </c>
      <c r="B36" s="69" t="s">
        <v>629</v>
      </c>
      <c r="C36" s="69" t="s">
        <v>630</v>
      </c>
      <c r="D36" s="69" t="s">
        <v>675</v>
      </c>
      <c r="E36" s="69" t="s">
        <v>632</v>
      </c>
      <c r="F36" s="69" t="s">
        <v>633</v>
      </c>
      <c r="G36" s="69" t="s">
        <v>676</v>
      </c>
      <c r="H36" s="69" t="s">
        <v>677</v>
      </c>
      <c r="I36" s="37"/>
      <c r="J36" s="37"/>
      <c r="K36" s="36" t="s">
        <v>673</v>
      </c>
    </row>
    <row r="37" spans="1:11" ht="65">
      <c r="A37" s="68" t="s">
        <v>678</v>
      </c>
      <c r="B37" s="69" t="s">
        <v>629</v>
      </c>
      <c r="C37" s="69" t="s">
        <v>630</v>
      </c>
      <c r="D37" s="69" t="s">
        <v>679</v>
      </c>
      <c r="E37" s="69" t="s">
        <v>632</v>
      </c>
      <c r="F37" s="69" t="s">
        <v>633</v>
      </c>
      <c r="G37" s="69" t="s">
        <v>680</v>
      </c>
      <c r="H37" s="69" t="s">
        <v>681</v>
      </c>
      <c r="I37" s="37"/>
      <c r="J37" s="37"/>
      <c r="K37" s="36" t="s">
        <v>682</v>
      </c>
    </row>
    <row r="38" spans="1:11" ht="65">
      <c r="A38" s="68" t="s">
        <v>683</v>
      </c>
      <c r="B38" s="69" t="s">
        <v>629</v>
      </c>
      <c r="C38" s="69" t="s">
        <v>630</v>
      </c>
      <c r="D38" s="69" t="s">
        <v>684</v>
      </c>
      <c r="E38" s="69" t="s">
        <v>632</v>
      </c>
      <c r="F38" s="69" t="s">
        <v>633</v>
      </c>
      <c r="G38" s="69" t="s">
        <v>685</v>
      </c>
      <c r="H38" s="69" t="s">
        <v>686</v>
      </c>
      <c r="I38" s="37"/>
      <c r="J38" s="37"/>
      <c r="K38" s="36" t="s">
        <v>687</v>
      </c>
    </row>
    <row r="39" spans="1:11" ht="65">
      <c r="A39" s="68" t="s">
        <v>688</v>
      </c>
      <c r="B39" s="69" t="s">
        <v>629</v>
      </c>
      <c r="C39" s="69" t="s">
        <v>630</v>
      </c>
      <c r="D39" s="69" t="s">
        <v>689</v>
      </c>
      <c r="E39" s="69" t="s">
        <v>632</v>
      </c>
      <c r="F39" s="69" t="s">
        <v>633</v>
      </c>
      <c r="G39" s="69" t="s">
        <v>690</v>
      </c>
      <c r="H39" s="69" t="s">
        <v>691</v>
      </c>
      <c r="I39" s="37"/>
      <c r="J39" s="37"/>
      <c r="K39" s="36" t="s">
        <v>692</v>
      </c>
    </row>
    <row r="40" spans="1:11" ht="65">
      <c r="A40" s="68" t="s">
        <v>693</v>
      </c>
      <c r="B40" s="69" t="s">
        <v>629</v>
      </c>
      <c r="C40" s="69" t="s">
        <v>630</v>
      </c>
      <c r="D40" s="69" t="s">
        <v>694</v>
      </c>
      <c r="E40" s="69" t="s">
        <v>632</v>
      </c>
      <c r="F40" s="69" t="s">
        <v>633</v>
      </c>
      <c r="G40" s="69" t="s">
        <v>695</v>
      </c>
      <c r="H40" s="69" t="s">
        <v>696</v>
      </c>
      <c r="I40" s="37"/>
      <c r="J40" s="37"/>
      <c r="K40" s="36" t="s">
        <v>692</v>
      </c>
    </row>
    <row r="41" spans="1:11" ht="65">
      <c r="A41" s="68" t="s">
        <v>697</v>
      </c>
      <c r="B41" s="69" t="s">
        <v>629</v>
      </c>
      <c r="C41" s="69" t="s">
        <v>630</v>
      </c>
      <c r="D41" s="69" t="s">
        <v>698</v>
      </c>
      <c r="E41" s="69" t="s">
        <v>632</v>
      </c>
      <c r="F41" s="69" t="s">
        <v>633</v>
      </c>
      <c r="G41" s="69" t="s">
        <v>699</v>
      </c>
      <c r="H41" s="69" t="s">
        <v>700</v>
      </c>
      <c r="I41" s="37"/>
      <c r="J41" s="37"/>
      <c r="K41" s="36" t="s">
        <v>692</v>
      </c>
    </row>
    <row r="42" spans="1:11" ht="65">
      <c r="A42" s="68" t="s">
        <v>701</v>
      </c>
      <c r="B42" s="69" t="s">
        <v>629</v>
      </c>
      <c r="C42" s="69" t="s">
        <v>630</v>
      </c>
      <c r="D42" s="69" t="s">
        <v>702</v>
      </c>
      <c r="E42" s="69" t="s">
        <v>632</v>
      </c>
      <c r="F42" s="69" t="s">
        <v>633</v>
      </c>
      <c r="G42" s="69" t="s">
        <v>703</v>
      </c>
      <c r="H42" s="69" t="s">
        <v>704</v>
      </c>
      <c r="I42" s="37"/>
      <c r="J42" s="37"/>
      <c r="K42" s="36" t="s">
        <v>692</v>
      </c>
    </row>
    <row r="43" spans="1:11" ht="65">
      <c r="A43" s="68" t="s">
        <v>705</v>
      </c>
      <c r="B43" s="69" t="s">
        <v>629</v>
      </c>
      <c r="C43" s="69" t="s">
        <v>630</v>
      </c>
      <c r="D43" s="69" t="s">
        <v>706</v>
      </c>
      <c r="E43" s="69" t="s">
        <v>632</v>
      </c>
      <c r="F43" s="69" t="s">
        <v>633</v>
      </c>
      <c r="G43" s="69" t="s">
        <v>707</v>
      </c>
      <c r="H43" s="69" t="s">
        <v>708</v>
      </c>
      <c r="I43" s="37"/>
      <c r="J43" s="37"/>
      <c r="K43" s="36" t="s">
        <v>709</v>
      </c>
    </row>
    <row r="44" spans="1:11" ht="65">
      <c r="A44" s="68" t="s">
        <v>710</v>
      </c>
      <c r="B44" s="69" t="s">
        <v>629</v>
      </c>
      <c r="C44" s="69" t="s">
        <v>630</v>
      </c>
      <c r="D44" s="69" t="s">
        <v>711</v>
      </c>
      <c r="E44" s="69" t="s">
        <v>632</v>
      </c>
      <c r="F44" s="69" t="s">
        <v>633</v>
      </c>
      <c r="G44" s="69" t="s">
        <v>712</v>
      </c>
      <c r="H44" s="69" t="s">
        <v>713</v>
      </c>
      <c r="I44" s="37"/>
      <c r="J44" s="37"/>
      <c r="K44" s="36" t="s">
        <v>714</v>
      </c>
    </row>
    <row r="45" spans="1:11" ht="65">
      <c r="A45" s="68" t="s">
        <v>715</v>
      </c>
      <c r="B45" s="69" t="s">
        <v>629</v>
      </c>
      <c r="C45" s="69" t="s">
        <v>630</v>
      </c>
      <c r="D45" s="69" t="s">
        <v>716</v>
      </c>
      <c r="E45" s="69" t="s">
        <v>632</v>
      </c>
      <c r="F45" s="69" t="s">
        <v>633</v>
      </c>
      <c r="G45" s="69" t="s">
        <v>717</v>
      </c>
      <c r="H45" s="69" t="s">
        <v>718</v>
      </c>
      <c r="I45" s="37"/>
      <c r="J45" s="37"/>
      <c r="K45" s="36" t="s">
        <v>719</v>
      </c>
    </row>
    <row r="46" spans="1:11" ht="65">
      <c r="A46" s="68" t="s">
        <v>720</v>
      </c>
      <c r="B46" s="69" t="s">
        <v>629</v>
      </c>
      <c r="C46" s="69" t="s">
        <v>630</v>
      </c>
      <c r="D46" s="69" t="s">
        <v>721</v>
      </c>
      <c r="E46" s="69" t="s">
        <v>632</v>
      </c>
      <c r="F46" s="69" t="s">
        <v>633</v>
      </c>
      <c r="G46" s="69" t="s">
        <v>722</v>
      </c>
      <c r="H46" s="69" t="s">
        <v>723</v>
      </c>
      <c r="I46" s="37"/>
      <c r="J46" s="37"/>
      <c r="K46" s="36" t="s">
        <v>719</v>
      </c>
    </row>
    <row r="47" spans="1:11" ht="65">
      <c r="A47" s="68" t="s">
        <v>724</v>
      </c>
      <c r="B47" s="69" t="s">
        <v>629</v>
      </c>
      <c r="C47" s="69" t="s">
        <v>630</v>
      </c>
      <c r="D47" s="69" t="s">
        <v>725</v>
      </c>
      <c r="E47" s="69" t="s">
        <v>632</v>
      </c>
      <c r="F47" s="69" t="s">
        <v>633</v>
      </c>
      <c r="G47" s="69" t="s">
        <v>726</v>
      </c>
      <c r="H47" s="69" t="s">
        <v>727</v>
      </c>
      <c r="I47" s="37"/>
      <c r="J47" s="37"/>
      <c r="K47" s="36" t="s">
        <v>719</v>
      </c>
    </row>
    <row r="48" spans="1:11" ht="65">
      <c r="A48" s="68" t="s">
        <v>728</v>
      </c>
      <c r="B48" s="69" t="s">
        <v>629</v>
      </c>
      <c r="C48" s="69" t="s">
        <v>630</v>
      </c>
      <c r="D48" s="69" t="s">
        <v>729</v>
      </c>
      <c r="E48" s="69" t="s">
        <v>632</v>
      </c>
      <c r="F48" s="69" t="s">
        <v>633</v>
      </c>
      <c r="G48" s="69" t="s">
        <v>730</v>
      </c>
      <c r="H48" s="69" t="s">
        <v>731</v>
      </c>
      <c r="I48" s="37"/>
      <c r="J48" s="37"/>
      <c r="K48" s="36" t="s">
        <v>732</v>
      </c>
    </row>
    <row r="49" spans="1:11" ht="65">
      <c r="A49" s="68" t="s">
        <v>733</v>
      </c>
      <c r="B49" s="69" t="s">
        <v>629</v>
      </c>
      <c r="C49" s="69" t="s">
        <v>630</v>
      </c>
      <c r="D49" s="69" t="s">
        <v>734</v>
      </c>
      <c r="E49" s="69" t="s">
        <v>632</v>
      </c>
      <c r="F49" s="69" t="s">
        <v>633</v>
      </c>
      <c r="G49" s="69" t="s">
        <v>735</v>
      </c>
      <c r="H49" s="69" t="s">
        <v>736</v>
      </c>
      <c r="I49" s="37"/>
      <c r="J49" s="37"/>
      <c r="K49" s="36" t="s">
        <v>737</v>
      </c>
    </row>
    <row r="50" spans="1:11" ht="65">
      <c r="A50" s="68" t="s">
        <v>738</v>
      </c>
      <c r="B50" s="69" t="s">
        <v>629</v>
      </c>
      <c r="C50" s="69" t="s">
        <v>630</v>
      </c>
      <c r="D50" s="69" t="s">
        <v>739</v>
      </c>
      <c r="E50" s="69" t="s">
        <v>632</v>
      </c>
      <c r="F50" s="69" t="s">
        <v>633</v>
      </c>
      <c r="G50" s="69" t="s">
        <v>740</v>
      </c>
      <c r="H50" s="69" t="s">
        <v>741</v>
      </c>
      <c r="I50" s="37"/>
      <c r="J50" s="37"/>
      <c r="K50" s="36" t="s">
        <v>737</v>
      </c>
    </row>
    <row r="51" spans="1:11" ht="65">
      <c r="A51" s="68" t="s">
        <v>742</v>
      </c>
      <c r="B51" s="69" t="s">
        <v>629</v>
      </c>
      <c r="C51" s="69" t="s">
        <v>630</v>
      </c>
      <c r="D51" s="69" t="s">
        <v>743</v>
      </c>
      <c r="E51" s="69" t="s">
        <v>632</v>
      </c>
      <c r="F51" s="69" t="s">
        <v>633</v>
      </c>
      <c r="G51" s="69" t="s">
        <v>744</v>
      </c>
      <c r="H51" s="69" t="s">
        <v>745</v>
      </c>
      <c r="I51" s="37"/>
      <c r="J51" s="37"/>
      <c r="K51" s="36" t="s">
        <v>737</v>
      </c>
    </row>
    <row r="52" spans="1:11" ht="65">
      <c r="A52" s="68" t="s">
        <v>746</v>
      </c>
      <c r="B52" s="69" t="s">
        <v>629</v>
      </c>
      <c r="C52" s="69" t="s">
        <v>630</v>
      </c>
      <c r="D52" s="69" t="s">
        <v>747</v>
      </c>
      <c r="E52" s="69" t="s">
        <v>632</v>
      </c>
      <c r="F52" s="69" t="s">
        <v>633</v>
      </c>
      <c r="G52" s="69" t="s">
        <v>748</v>
      </c>
      <c r="H52" s="69" t="s">
        <v>749</v>
      </c>
      <c r="I52" s="37"/>
      <c r="J52" s="37"/>
      <c r="K52" s="36" t="s">
        <v>737</v>
      </c>
    </row>
    <row r="53" spans="1:11" ht="65">
      <c r="A53" s="68" t="s">
        <v>750</v>
      </c>
      <c r="B53" s="69" t="s">
        <v>629</v>
      </c>
      <c r="C53" s="69" t="s">
        <v>630</v>
      </c>
      <c r="D53" s="69" t="s">
        <v>751</v>
      </c>
      <c r="E53" s="69" t="s">
        <v>632</v>
      </c>
      <c r="F53" s="69" t="s">
        <v>633</v>
      </c>
      <c r="G53" s="69" t="s">
        <v>752</v>
      </c>
      <c r="H53" s="69" t="s">
        <v>753</v>
      </c>
      <c r="I53" s="37"/>
      <c r="J53" s="37"/>
      <c r="K53" s="36" t="s">
        <v>754</v>
      </c>
    </row>
    <row r="54" spans="1:11" ht="65">
      <c r="A54" s="68" t="s">
        <v>755</v>
      </c>
      <c r="B54" s="69" t="s">
        <v>629</v>
      </c>
      <c r="C54" s="69" t="s">
        <v>630</v>
      </c>
      <c r="D54" s="69" t="s">
        <v>756</v>
      </c>
      <c r="E54" s="69" t="s">
        <v>632</v>
      </c>
      <c r="F54" s="69" t="s">
        <v>633</v>
      </c>
      <c r="G54" s="69" t="s">
        <v>757</v>
      </c>
      <c r="H54" s="69" t="s">
        <v>758</v>
      </c>
      <c r="I54" s="37"/>
      <c r="J54" s="37"/>
      <c r="K54" s="36" t="s">
        <v>759</v>
      </c>
    </row>
    <row r="55" spans="1:11" ht="65">
      <c r="A55" s="68" t="s">
        <v>760</v>
      </c>
      <c r="B55" s="69" t="s">
        <v>629</v>
      </c>
      <c r="C55" s="69" t="s">
        <v>630</v>
      </c>
      <c r="D55" s="69" t="s">
        <v>761</v>
      </c>
      <c r="E55" s="69" t="s">
        <v>632</v>
      </c>
      <c r="F55" s="69" t="s">
        <v>633</v>
      </c>
      <c r="G55" s="69" t="s">
        <v>762</v>
      </c>
      <c r="H55" s="69" t="s">
        <v>763</v>
      </c>
      <c r="I55" s="37"/>
      <c r="J55" s="37"/>
      <c r="K55" s="36" t="s">
        <v>764</v>
      </c>
    </row>
    <row r="56" spans="1:11" ht="65">
      <c r="A56" s="68" t="s">
        <v>765</v>
      </c>
      <c r="B56" s="69" t="s">
        <v>629</v>
      </c>
      <c r="C56" s="69" t="s">
        <v>630</v>
      </c>
      <c r="D56" s="69" t="s">
        <v>766</v>
      </c>
      <c r="E56" s="69" t="s">
        <v>632</v>
      </c>
      <c r="F56" s="69" t="s">
        <v>633</v>
      </c>
      <c r="G56" s="69" t="s">
        <v>767</v>
      </c>
      <c r="H56" s="69" t="s">
        <v>768</v>
      </c>
      <c r="I56" s="37"/>
      <c r="J56" s="37"/>
      <c r="K56" s="36" t="s">
        <v>769</v>
      </c>
    </row>
    <row r="57" spans="1:11" ht="65">
      <c r="A57" s="68" t="s">
        <v>770</v>
      </c>
      <c r="B57" s="69" t="s">
        <v>629</v>
      </c>
      <c r="C57" s="69" t="s">
        <v>630</v>
      </c>
      <c r="D57" s="69" t="s">
        <v>771</v>
      </c>
      <c r="E57" s="69" t="s">
        <v>632</v>
      </c>
      <c r="F57" s="69" t="s">
        <v>633</v>
      </c>
      <c r="G57" s="69" t="s">
        <v>772</v>
      </c>
      <c r="H57" s="69" t="s">
        <v>773</v>
      </c>
      <c r="I57" s="37"/>
      <c r="J57" s="37"/>
      <c r="K57" s="36" t="s">
        <v>774</v>
      </c>
    </row>
    <row r="58" spans="1:11" ht="65">
      <c r="A58" s="68" t="s">
        <v>775</v>
      </c>
      <c r="B58" s="69" t="s">
        <v>629</v>
      </c>
      <c r="C58" s="69" t="s">
        <v>630</v>
      </c>
      <c r="D58" s="69" t="s">
        <v>776</v>
      </c>
      <c r="E58" s="69" t="s">
        <v>632</v>
      </c>
      <c r="F58" s="69" t="s">
        <v>633</v>
      </c>
      <c r="G58" s="69" t="s">
        <v>777</v>
      </c>
      <c r="H58" s="69" t="s">
        <v>778</v>
      </c>
      <c r="I58" s="37"/>
      <c r="J58" s="37"/>
      <c r="K58" s="36" t="s">
        <v>779</v>
      </c>
    </row>
    <row r="59" spans="1:11" ht="65">
      <c r="A59" s="68" t="s">
        <v>780</v>
      </c>
      <c r="B59" s="69" t="s">
        <v>629</v>
      </c>
      <c r="C59" s="69" t="s">
        <v>630</v>
      </c>
      <c r="D59" s="69" t="s">
        <v>781</v>
      </c>
      <c r="E59" s="69" t="s">
        <v>632</v>
      </c>
      <c r="F59" s="69" t="s">
        <v>633</v>
      </c>
      <c r="G59" s="69" t="s">
        <v>782</v>
      </c>
      <c r="H59" s="69" t="s">
        <v>783</v>
      </c>
      <c r="I59" s="37"/>
      <c r="J59" s="37"/>
      <c r="K59" s="36" t="s">
        <v>784</v>
      </c>
    </row>
    <row r="60" spans="1:11" ht="65">
      <c r="A60" s="68" t="s">
        <v>785</v>
      </c>
      <c r="B60" s="69" t="s">
        <v>629</v>
      </c>
      <c r="C60" s="69" t="s">
        <v>630</v>
      </c>
      <c r="D60" s="69" t="s">
        <v>786</v>
      </c>
      <c r="E60" s="69" t="s">
        <v>632</v>
      </c>
      <c r="F60" s="69" t="s">
        <v>633</v>
      </c>
      <c r="G60" s="69" t="s">
        <v>787</v>
      </c>
      <c r="H60" s="69" t="s">
        <v>788</v>
      </c>
      <c r="I60" s="37"/>
      <c r="J60" s="37"/>
      <c r="K60" s="36" t="s">
        <v>789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60" xr:uid="{00000000-0002-0000-06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3"/>
  <sheetViews>
    <sheetView topLeftCell="A63" workbookViewId="0">
      <selection activeCell="C66" sqref="C66"/>
    </sheetView>
  </sheetViews>
  <sheetFormatPr defaultRowHeight="12.5"/>
  <cols>
    <col min="1" max="1" width="14" customWidth="1"/>
    <col min="2" max="2" width="29.6328125" customWidth="1"/>
    <col min="3" max="3" width="22.7265625" customWidth="1"/>
    <col min="4" max="4" width="38" customWidth="1"/>
    <col min="5" max="5" width="34" customWidth="1"/>
    <col min="6" max="6" width="44" customWidth="1"/>
    <col min="7" max="7" width="30" customWidth="1"/>
    <col min="8" max="8" width="42" customWidth="1"/>
    <col min="9" max="10" width="17.36328125" customWidth="1"/>
    <col min="11" max="11" width="31" customWidth="1"/>
  </cols>
  <sheetData>
    <row r="1" spans="1:11" ht="28.5" customHeight="1">
      <c r="A1" s="41" t="s">
        <v>20</v>
      </c>
      <c r="B1" s="41"/>
      <c r="C1" s="41"/>
      <c r="D1" s="41"/>
      <c r="E1" s="41"/>
      <c r="F1" s="42"/>
      <c r="G1" s="42"/>
      <c r="H1" s="42"/>
      <c r="I1" s="42"/>
      <c r="J1" s="42"/>
      <c r="K1" s="42"/>
    </row>
    <row r="2" spans="1:11" ht="14.5">
      <c r="A2" s="43" t="s">
        <v>21</v>
      </c>
      <c r="B2" s="43"/>
      <c r="C2" s="44" t="s">
        <v>790</v>
      </c>
      <c r="D2" s="44"/>
      <c r="E2" s="44"/>
      <c r="F2" s="42"/>
      <c r="G2" s="42"/>
      <c r="H2" s="42"/>
      <c r="I2" s="42"/>
      <c r="J2" s="42"/>
      <c r="K2" s="42"/>
    </row>
    <row r="3" spans="1:11" ht="14.5">
      <c r="A3" s="43" t="s">
        <v>23</v>
      </c>
      <c r="B3" s="43"/>
      <c r="C3" s="38" t="s">
        <v>791</v>
      </c>
      <c r="D3" s="38"/>
      <c r="E3" s="38"/>
      <c r="F3" s="42"/>
      <c r="G3" s="42"/>
      <c r="H3" s="42"/>
      <c r="I3" s="42"/>
      <c r="J3" s="42"/>
      <c r="K3" s="42"/>
    </row>
    <row r="4" spans="1:11" ht="14.5">
      <c r="A4" s="43" t="s">
        <v>25</v>
      </c>
      <c r="B4" s="43"/>
      <c r="C4" s="38"/>
      <c r="D4" s="38"/>
      <c r="E4" s="38"/>
      <c r="F4" s="42"/>
      <c r="G4" s="42"/>
      <c r="H4" s="42"/>
      <c r="I4" s="42"/>
      <c r="J4" s="42"/>
      <c r="K4" s="42"/>
    </row>
    <row r="5" spans="1:11" ht="15" customHeight="1">
      <c r="A5" s="24" t="s">
        <v>26</v>
      </c>
      <c r="B5" s="25" t="s">
        <v>27</v>
      </c>
      <c r="C5" s="26" t="s">
        <v>28</v>
      </c>
      <c r="D5" s="27" t="s">
        <v>5</v>
      </c>
      <c r="E5" s="28" t="s">
        <v>29</v>
      </c>
      <c r="F5" s="42"/>
      <c r="G5" s="42"/>
      <c r="H5" s="42"/>
      <c r="I5" s="42"/>
      <c r="J5" s="42"/>
      <c r="K5" s="42"/>
    </row>
    <row r="6" spans="1:11" ht="15" customHeight="1">
      <c r="A6" s="29">
        <f>COUNTIF(I10:I26,"Passed")</f>
        <v>0</v>
      </c>
      <c r="B6" s="30">
        <f>COUNTIF(I10:I26,"Failed")</f>
        <v>0</v>
      </c>
      <c r="C6" s="30">
        <f>COUNTIF(I10:I26,"N/A")</f>
        <v>0</v>
      </c>
      <c r="D6" s="30">
        <f>E6-C6-A6-B6</f>
        <v>17</v>
      </c>
      <c r="E6" s="31">
        <f>COUNTA(A10:A26)</f>
        <v>17</v>
      </c>
      <c r="F6" s="42"/>
      <c r="G6" s="42"/>
      <c r="H6" s="42"/>
      <c r="I6" s="42"/>
      <c r="J6" s="42"/>
      <c r="K6" s="42"/>
    </row>
    <row r="7" spans="1:11" ht="15" customHeight="1">
      <c r="A7" s="32">
        <f>COUNTIF(J10:J26,"Passed")</f>
        <v>0</v>
      </c>
      <c r="B7" s="33">
        <f>COUNTIF(J10:J26,"Failed")</f>
        <v>0</v>
      </c>
      <c r="C7" s="33">
        <f>COUNTIF(J10:J26,"N/A")</f>
        <v>0</v>
      </c>
      <c r="D7" s="33">
        <f>E7-C7-A7-B7</f>
        <v>17</v>
      </c>
      <c r="E7" s="34">
        <f>COUNTA(A10:A26)</f>
        <v>17</v>
      </c>
      <c r="F7" s="42"/>
      <c r="G7" s="42"/>
      <c r="H7" s="42"/>
      <c r="I7" s="42"/>
      <c r="J7" s="42"/>
      <c r="K7" s="42"/>
    </row>
    <row r="8" spans="1:11" ht="10.5" customHeight="1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5" customHeight="1">
      <c r="A9" s="35" t="s">
        <v>30</v>
      </c>
      <c r="B9" s="35" t="s">
        <v>31</v>
      </c>
      <c r="C9" s="35" t="s">
        <v>32</v>
      </c>
      <c r="D9" s="35" t="s">
        <v>33</v>
      </c>
      <c r="E9" s="35" t="s">
        <v>34</v>
      </c>
      <c r="F9" s="35" t="s">
        <v>35</v>
      </c>
      <c r="G9" s="35" t="s">
        <v>36</v>
      </c>
      <c r="H9" s="35" t="s">
        <v>37</v>
      </c>
      <c r="I9" s="35" t="s">
        <v>38</v>
      </c>
      <c r="J9" s="35" t="s">
        <v>39</v>
      </c>
      <c r="K9" s="35" t="s">
        <v>40</v>
      </c>
    </row>
    <row r="10" spans="1:11" ht="48" customHeight="1">
      <c r="A10" s="37" t="s">
        <v>792</v>
      </c>
      <c r="B10" s="36" t="s">
        <v>793</v>
      </c>
      <c r="C10" s="36" t="s">
        <v>794</v>
      </c>
      <c r="D10" s="36" t="s">
        <v>795</v>
      </c>
      <c r="E10" s="36" t="s">
        <v>796</v>
      </c>
      <c r="F10" s="36" t="s">
        <v>797</v>
      </c>
      <c r="G10" s="36" t="s">
        <v>798</v>
      </c>
      <c r="H10" s="36" t="s">
        <v>799</v>
      </c>
      <c r="I10" s="37"/>
      <c r="J10" s="37"/>
      <c r="K10" s="36" t="s">
        <v>800</v>
      </c>
    </row>
    <row r="11" spans="1:11" ht="48" customHeight="1">
      <c r="A11" s="37" t="s">
        <v>801</v>
      </c>
      <c r="B11" s="36" t="s">
        <v>793</v>
      </c>
      <c r="C11" s="36" t="s">
        <v>794</v>
      </c>
      <c r="D11" s="36" t="s">
        <v>802</v>
      </c>
      <c r="E11" s="36" t="s">
        <v>796</v>
      </c>
      <c r="F11" s="36" t="s">
        <v>797</v>
      </c>
      <c r="G11" s="36" t="s">
        <v>803</v>
      </c>
      <c r="H11" s="36" t="s">
        <v>804</v>
      </c>
      <c r="I11" s="37"/>
      <c r="J11" s="37"/>
      <c r="K11" s="36" t="s">
        <v>805</v>
      </c>
    </row>
    <row r="12" spans="1:11" ht="48" customHeight="1">
      <c r="A12" s="37" t="s">
        <v>806</v>
      </c>
      <c r="B12" s="36" t="s">
        <v>793</v>
      </c>
      <c r="C12" s="36" t="s">
        <v>794</v>
      </c>
      <c r="D12" s="36" t="s">
        <v>807</v>
      </c>
      <c r="E12" s="36" t="s">
        <v>796</v>
      </c>
      <c r="F12" s="36" t="s">
        <v>797</v>
      </c>
      <c r="G12" s="36" t="s">
        <v>808</v>
      </c>
      <c r="H12" s="36" t="s">
        <v>809</v>
      </c>
      <c r="I12" s="37"/>
      <c r="J12" s="37"/>
      <c r="K12" s="36" t="s">
        <v>810</v>
      </c>
    </row>
    <row r="13" spans="1:11" ht="48" customHeight="1">
      <c r="A13" s="37" t="s">
        <v>811</v>
      </c>
      <c r="B13" s="36" t="s">
        <v>793</v>
      </c>
      <c r="C13" s="36" t="s">
        <v>794</v>
      </c>
      <c r="D13" s="36" t="s">
        <v>812</v>
      </c>
      <c r="E13" s="36" t="s">
        <v>796</v>
      </c>
      <c r="F13" s="36" t="s">
        <v>797</v>
      </c>
      <c r="G13" s="36" t="s">
        <v>813</v>
      </c>
      <c r="H13" s="36" t="s">
        <v>814</v>
      </c>
      <c r="I13" s="37"/>
      <c r="J13" s="37"/>
      <c r="K13" s="36" t="s">
        <v>805</v>
      </c>
    </row>
    <row r="14" spans="1:11" ht="48" customHeight="1">
      <c r="A14" s="37" t="s">
        <v>815</v>
      </c>
      <c r="B14" s="36" t="s">
        <v>793</v>
      </c>
      <c r="C14" s="36" t="s">
        <v>794</v>
      </c>
      <c r="D14" s="36" t="s">
        <v>816</v>
      </c>
      <c r="E14" s="36" t="s">
        <v>796</v>
      </c>
      <c r="F14" s="36" t="s">
        <v>797</v>
      </c>
      <c r="G14" s="36" t="s">
        <v>817</v>
      </c>
      <c r="H14" s="36" t="s">
        <v>818</v>
      </c>
      <c r="I14" s="37"/>
      <c r="J14" s="37"/>
      <c r="K14" s="36" t="s">
        <v>805</v>
      </c>
    </row>
    <row r="15" spans="1:11" ht="48" customHeight="1">
      <c r="A15" s="37" t="s">
        <v>819</v>
      </c>
      <c r="B15" s="36" t="s">
        <v>793</v>
      </c>
      <c r="C15" s="36" t="s">
        <v>794</v>
      </c>
      <c r="D15" s="36" t="s">
        <v>820</v>
      </c>
      <c r="E15" s="36" t="s">
        <v>796</v>
      </c>
      <c r="F15" s="36" t="s">
        <v>797</v>
      </c>
      <c r="G15" s="36" t="s">
        <v>821</v>
      </c>
      <c r="H15" s="36" t="s">
        <v>822</v>
      </c>
      <c r="I15" s="37"/>
      <c r="J15" s="37"/>
      <c r="K15" s="36" t="s">
        <v>823</v>
      </c>
    </row>
    <row r="16" spans="1:11" ht="48" customHeight="1">
      <c r="A16" s="37" t="s">
        <v>824</v>
      </c>
      <c r="B16" s="36" t="s">
        <v>793</v>
      </c>
      <c r="C16" s="36" t="s">
        <v>794</v>
      </c>
      <c r="D16" s="36" t="s">
        <v>825</v>
      </c>
      <c r="E16" s="36" t="s">
        <v>796</v>
      </c>
      <c r="F16" s="36" t="s">
        <v>797</v>
      </c>
      <c r="G16" s="36" t="s">
        <v>826</v>
      </c>
      <c r="H16" s="36" t="s">
        <v>827</v>
      </c>
      <c r="I16" s="37"/>
      <c r="J16" s="37"/>
      <c r="K16" s="36" t="s">
        <v>828</v>
      </c>
    </row>
    <row r="17" spans="1:11" ht="48" customHeight="1">
      <c r="A17" s="37" t="s">
        <v>829</v>
      </c>
      <c r="B17" s="36" t="s">
        <v>793</v>
      </c>
      <c r="C17" s="36" t="s">
        <v>794</v>
      </c>
      <c r="D17" s="36" t="s">
        <v>830</v>
      </c>
      <c r="E17" s="36" t="s">
        <v>796</v>
      </c>
      <c r="F17" s="36" t="s">
        <v>797</v>
      </c>
      <c r="G17" s="36" t="s">
        <v>831</v>
      </c>
      <c r="H17" s="36" t="s">
        <v>832</v>
      </c>
      <c r="I17" s="37"/>
      <c r="J17" s="37"/>
      <c r="K17" s="36" t="s">
        <v>833</v>
      </c>
    </row>
    <row r="18" spans="1:11" ht="48" customHeight="1">
      <c r="A18" s="37" t="s">
        <v>834</v>
      </c>
      <c r="B18" s="36" t="s">
        <v>793</v>
      </c>
      <c r="C18" s="36" t="s">
        <v>794</v>
      </c>
      <c r="D18" s="36" t="s">
        <v>835</v>
      </c>
      <c r="E18" s="36" t="s">
        <v>796</v>
      </c>
      <c r="F18" s="36" t="s">
        <v>797</v>
      </c>
      <c r="G18" s="36" t="s">
        <v>836</v>
      </c>
      <c r="H18" s="36" t="s">
        <v>837</v>
      </c>
      <c r="I18" s="37"/>
      <c r="J18" s="37"/>
      <c r="K18" s="36" t="s">
        <v>828</v>
      </c>
    </row>
    <row r="19" spans="1:11" ht="48" customHeight="1">
      <c r="A19" s="37" t="s">
        <v>838</v>
      </c>
      <c r="B19" s="36" t="s">
        <v>793</v>
      </c>
      <c r="C19" s="36" t="s">
        <v>794</v>
      </c>
      <c r="D19" s="36" t="s">
        <v>839</v>
      </c>
      <c r="E19" s="36" t="s">
        <v>796</v>
      </c>
      <c r="F19" s="36" t="s">
        <v>797</v>
      </c>
      <c r="G19" s="36" t="s">
        <v>840</v>
      </c>
      <c r="H19" s="36" t="s">
        <v>841</v>
      </c>
      <c r="I19" s="37"/>
      <c r="J19" s="37"/>
      <c r="K19" s="36" t="s">
        <v>828</v>
      </c>
    </row>
    <row r="20" spans="1:11" ht="48" customHeight="1">
      <c r="A20" s="37" t="s">
        <v>842</v>
      </c>
      <c r="B20" s="36" t="s">
        <v>793</v>
      </c>
      <c r="C20" s="36" t="s">
        <v>794</v>
      </c>
      <c r="D20" s="36" t="s">
        <v>843</v>
      </c>
      <c r="E20" s="36" t="s">
        <v>796</v>
      </c>
      <c r="F20" s="36" t="s">
        <v>797</v>
      </c>
      <c r="G20" s="36" t="s">
        <v>844</v>
      </c>
      <c r="H20" s="36" t="s">
        <v>845</v>
      </c>
      <c r="I20" s="37"/>
      <c r="J20" s="37"/>
      <c r="K20" s="36" t="s">
        <v>823</v>
      </c>
    </row>
    <row r="21" spans="1:11" ht="48" customHeight="1">
      <c r="A21" s="37" t="s">
        <v>846</v>
      </c>
      <c r="B21" s="36" t="s">
        <v>793</v>
      </c>
      <c r="C21" s="36" t="s">
        <v>794</v>
      </c>
      <c r="D21" s="36" t="s">
        <v>847</v>
      </c>
      <c r="E21" s="36" t="s">
        <v>796</v>
      </c>
      <c r="F21" s="36" t="s">
        <v>797</v>
      </c>
      <c r="G21" s="36" t="s">
        <v>848</v>
      </c>
      <c r="H21" s="36" t="s">
        <v>849</v>
      </c>
      <c r="I21" s="37"/>
      <c r="J21" s="37"/>
      <c r="K21" s="36" t="s">
        <v>823</v>
      </c>
    </row>
    <row r="22" spans="1:11" ht="48" customHeight="1">
      <c r="A22" s="37" t="s">
        <v>850</v>
      </c>
      <c r="B22" s="36" t="s">
        <v>793</v>
      </c>
      <c r="C22" s="36" t="s">
        <v>794</v>
      </c>
      <c r="D22" s="36" t="s">
        <v>851</v>
      </c>
      <c r="E22" s="36" t="s">
        <v>796</v>
      </c>
      <c r="F22" s="36" t="s">
        <v>797</v>
      </c>
      <c r="G22" s="36" t="s">
        <v>852</v>
      </c>
      <c r="H22" s="36" t="s">
        <v>853</v>
      </c>
      <c r="I22" s="37"/>
      <c r="J22" s="37"/>
      <c r="K22" s="36" t="s">
        <v>823</v>
      </c>
    </row>
    <row r="23" spans="1:11" ht="48" customHeight="1">
      <c r="A23" s="37" t="s">
        <v>854</v>
      </c>
      <c r="B23" s="36" t="s">
        <v>793</v>
      </c>
      <c r="C23" s="36" t="s">
        <v>794</v>
      </c>
      <c r="D23" s="36" t="s">
        <v>855</v>
      </c>
      <c r="E23" s="36" t="s">
        <v>796</v>
      </c>
      <c r="F23" s="36" t="s">
        <v>797</v>
      </c>
      <c r="G23" s="36" t="s">
        <v>856</v>
      </c>
      <c r="H23" s="36" t="s">
        <v>857</v>
      </c>
      <c r="I23" s="37"/>
      <c r="J23" s="37"/>
      <c r="K23" s="36" t="s">
        <v>823</v>
      </c>
    </row>
    <row r="24" spans="1:11" ht="48" customHeight="1">
      <c r="A24" s="37" t="s">
        <v>858</v>
      </c>
      <c r="B24" s="36" t="s">
        <v>793</v>
      </c>
      <c r="C24" s="36" t="s">
        <v>794</v>
      </c>
      <c r="D24" s="36" t="s">
        <v>859</v>
      </c>
      <c r="E24" s="36" t="s">
        <v>796</v>
      </c>
      <c r="F24" s="36" t="s">
        <v>797</v>
      </c>
      <c r="G24" s="36" t="s">
        <v>860</v>
      </c>
      <c r="H24" s="36" t="s">
        <v>861</v>
      </c>
      <c r="I24" s="37"/>
      <c r="J24" s="37"/>
      <c r="K24" s="36" t="s">
        <v>862</v>
      </c>
    </row>
    <row r="25" spans="1:11" ht="48" customHeight="1">
      <c r="A25" s="37" t="s">
        <v>863</v>
      </c>
      <c r="B25" s="36" t="s">
        <v>793</v>
      </c>
      <c r="C25" s="36" t="s">
        <v>794</v>
      </c>
      <c r="D25" s="36" t="s">
        <v>864</v>
      </c>
      <c r="E25" s="36" t="s">
        <v>796</v>
      </c>
      <c r="F25" s="36" t="s">
        <v>797</v>
      </c>
      <c r="G25" s="36" t="s">
        <v>865</v>
      </c>
      <c r="H25" s="36" t="s">
        <v>866</v>
      </c>
      <c r="I25" s="37"/>
      <c r="J25" s="37"/>
      <c r="K25" s="36" t="s">
        <v>862</v>
      </c>
    </row>
    <row r="26" spans="1:11" ht="48" customHeight="1">
      <c r="A26" s="37" t="s">
        <v>867</v>
      </c>
      <c r="B26" s="36" t="s">
        <v>793</v>
      </c>
      <c r="C26" s="36" t="s">
        <v>794</v>
      </c>
      <c r="D26" s="36" t="s">
        <v>868</v>
      </c>
      <c r="E26" s="36" t="s">
        <v>796</v>
      </c>
      <c r="F26" s="36" t="s">
        <v>797</v>
      </c>
      <c r="G26" s="36" t="s">
        <v>869</v>
      </c>
      <c r="H26" s="36" t="s">
        <v>870</v>
      </c>
      <c r="I26" s="37"/>
      <c r="J26" s="37"/>
      <c r="K26" s="36" t="s">
        <v>871</v>
      </c>
    </row>
    <row r="27" spans="1:11" ht="78">
      <c r="A27" s="68" t="s">
        <v>872</v>
      </c>
      <c r="B27" s="69" t="s">
        <v>873</v>
      </c>
      <c r="C27" s="69" t="s">
        <v>874</v>
      </c>
      <c r="D27" s="69" t="s">
        <v>875</v>
      </c>
      <c r="E27" s="69" t="s">
        <v>876</v>
      </c>
      <c r="F27" s="69" t="s">
        <v>877</v>
      </c>
      <c r="G27" s="69" t="s">
        <v>878</v>
      </c>
      <c r="H27" s="69" t="s">
        <v>879</v>
      </c>
      <c r="I27" s="37"/>
      <c r="J27" s="37"/>
      <c r="K27" s="36" t="s">
        <v>880</v>
      </c>
    </row>
    <row r="28" spans="1:11" ht="78">
      <c r="A28" s="68" t="s">
        <v>881</v>
      </c>
      <c r="B28" s="69" t="s">
        <v>873</v>
      </c>
      <c r="C28" s="69" t="s">
        <v>874</v>
      </c>
      <c r="D28" s="69" t="s">
        <v>882</v>
      </c>
      <c r="E28" s="69" t="s">
        <v>876</v>
      </c>
      <c r="F28" s="69" t="s">
        <v>877</v>
      </c>
      <c r="G28" s="69" t="s">
        <v>883</v>
      </c>
      <c r="H28" s="69" t="s">
        <v>884</v>
      </c>
      <c r="I28" s="37"/>
      <c r="J28" s="37"/>
      <c r="K28" s="36" t="s">
        <v>885</v>
      </c>
    </row>
    <row r="29" spans="1:11" ht="78">
      <c r="A29" s="68" t="s">
        <v>886</v>
      </c>
      <c r="B29" s="69" t="s">
        <v>873</v>
      </c>
      <c r="C29" s="69" t="s">
        <v>874</v>
      </c>
      <c r="D29" s="69" t="s">
        <v>887</v>
      </c>
      <c r="E29" s="69" t="s">
        <v>876</v>
      </c>
      <c r="F29" s="69" t="s">
        <v>877</v>
      </c>
      <c r="G29" s="69" t="s">
        <v>888</v>
      </c>
      <c r="H29" s="69" t="s">
        <v>889</v>
      </c>
      <c r="I29" s="37"/>
      <c r="J29" s="37"/>
      <c r="K29" s="36" t="s">
        <v>885</v>
      </c>
    </row>
    <row r="30" spans="1:11" ht="78">
      <c r="A30" s="68" t="s">
        <v>890</v>
      </c>
      <c r="B30" s="69" t="s">
        <v>873</v>
      </c>
      <c r="C30" s="69" t="s">
        <v>874</v>
      </c>
      <c r="D30" s="69" t="s">
        <v>891</v>
      </c>
      <c r="E30" s="69" t="s">
        <v>876</v>
      </c>
      <c r="F30" s="69" t="s">
        <v>877</v>
      </c>
      <c r="G30" s="69" t="s">
        <v>892</v>
      </c>
      <c r="H30" s="69" t="s">
        <v>893</v>
      </c>
      <c r="I30" s="37"/>
      <c r="J30" s="37"/>
      <c r="K30" s="36" t="s">
        <v>894</v>
      </c>
    </row>
    <row r="31" spans="1:11" ht="78">
      <c r="A31" s="68" t="s">
        <v>895</v>
      </c>
      <c r="B31" s="69" t="s">
        <v>873</v>
      </c>
      <c r="C31" s="69" t="s">
        <v>874</v>
      </c>
      <c r="D31" s="69" t="s">
        <v>896</v>
      </c>
      <c r="E31" s="69" t="s">
        <v>876</v>
      </c>
      <c r="F31" s="69" t="s">
        <v>877</v>
      </c>
      <c r="G31" s="69" t="s">
        <v>897</v>
      </c>
      <c r="H31" s="69" t="s">
        <v>898</v>
      </c>
      <c r="I31" s="37"/>
      <c r="J31" s="37"/>
      <c r="K31" s="36" t="s">
        <v>885</v>
      </c>
    </row>
    <row r="32" spans="1:11" ht="78">
      <c r="A32" s="68" t="s">
        <v>899</v>
      </c>
      <c r="B32" s="69" t="s">
        <v>873</v>
      </c>
      <c r="C32" s="69" t="s">
        <v>874</v>
      </c>
      <c r="D32" s="69" t="s">
        <v>900</v>
      </c>
      <c r="E32" s="69" t="s">
        <v>876</v>
      </c>
      <c r="F32" s="69" t="s">
        <v>877</v>
      </c>
      <c r="G32" s="69" t="s">
        <v>901</v>
      </c>
      <c r="H32" s="69" t="s">
        <v>902</v>
      </c>
      <c r="I32" s="37"/>
      <c r="J32" s="37"/>
      <c r="K32" s="36" t="s">
        <v>894</v>
      </c>
    </row>
    <row r="33" spans="1:11" ht="78">
      <c r="A33" s="68" t="s">
        <v>903</v>
      </c>
      <c r="B33" s="69" t="s">
        <v>873</v>
      </c>
      <c r="C33" s="69" t="s">
        <v>874</v>
      </c>
      <c r="D33" s="69" t="s">
        <v>904</v>
      </c>
      <c r="E33" s="69" t="s">
        <v>876</v>
      </c>
      <c r="F33" s="69" t="s">
        <v>877</v>
      </c>
      <c r="G33" s="69" t="s">
        <v>905</v>
      </c>
      <c r="H33" s="69" t="s">
        <v>906</v>
      </c>
      <c r="I33" s="37"/>
      <c r="J33" s="37"/>
      <c r="K33" s="36" t="s">
        <v>885</v>
      </c>
    </row>
    <row r="34" spans="1:11" ht="78">
      <c r="A34" s="68" t="s">
        <v>907</v>
      </c>
      <c r="B34" s="69" t="s">
        <v>873</v>
      </c>
      <c r="C34" s="69" t="s">
        <v>874</v>
      </c>
      <c r="D34" s="69" t="s">
        <v>908</v>
      </c>
      <c r="E34" s="69" t="s">
        <v>876</v>
      </c>
      <c r="F34" s="69" t="s">
        <v>877</v>
      </c>
      <c r="G34" s="69" t="s">
        <v>909</v>
      </c>
      <c r="H34" s="69" t="s">
        <v>910</v>
      </c>
      <c r="I34" s="37"/>
      <c r="J34" s="37"/>
      <c r="K34" s="36" t="s">
        <v>885</v>
      </c>
    </row>
    <row r="35" spans="1:11" ht="78">
      <c r="A35" s="68" t="s">
        <v>911</v>
      </c>
      <c r="B35" s="69" t="s">
        <v>873</v>
      </c>
      <c r="C35" s="69" t="s">
        <v>874</v>
      </c>
      <c r="D35" s="69" t="s">
        <v>912</v>
      </c>
      <c r="E35" s="69" t="s">
        <v>876</v>
      </c>
      <c r="F35" s="69" t="s">
        <v>877</v>
      </c>
      <c r="G35" s="69" t="s">
        <v>913</v>
      </c>
      <c r="H35" s="69" t="s">
        <v>914</v>
      </c>
      <c r="I35" s="37"/>
      <c r="J35" s="37"/>
      <c r="K35" s="36" t="s">
        <v>880</v>
      </c>
    </row>
    <row r="36" spans="1:11" ht="78">
      <c r="A36" s="68" t="s">
        <v>915</v>
      </c>
      <c r="B36" s="69" t="s">
        <v>873</v>
      </c>
      <c r="C36" s="69" t="s">
        <v>874</v>
      </c>
      <c r="D36" s="69" t="s">
        <v>916</v>
      </c>
      <c r="E36" s="69" t="s">
        <v>876</v>
      </c>
      <c r="F36" s="69" t="s">
        <v>877</v>
      </c>
      <c r="G36" s="69" t="s">
        <v>917</v>
      </c>
      <c r="H36" s="69" t="s">
        <v>918</v>
      </c>
      <c r="I36" s="37"/>
      <c r="J36" s="37"/>
      <c r="K36" s="36" t="s">
        <v>919</v>
      </c>
    </row>
    <row r="37" spans="1:11" ht="78">
      <c r="A37" s="68" t="s">
        <v>920</v>
      </c>
      <c r="B37" s="69" t="s">
        <v>873</v>
      </c>
      <c r="C37" s="69" t="s">
        <v>874</v>
      </c>
      <c r="D37" s="69" t="s">
        <v>921</v>
      </c>
      <c r="E37" s="69" t="s">
        <v>876</v>
      </c>
      <c r="F37" s="69" t="s">
        <v>877</v>
      </c>
      <c r="G37" s="69" t="s">
        <v>922</v>
      </c>
      <c r="H37" s="69" t="s">
        <v>923</v>
      </c>
      <c r="I37" s="37"/>
      <c r="J37" s="37"/>
      <c r="K37" s="36" t="s">
        <v>924</v>
      </c>
    </row>
    <row r="38" spans="1:11" ht="78">
      <c r="A38" s="68" t="s">
        <v>925</v>
      </c>
      <c r="B38" s="69" t="s">
        <v>873</v>
      </c>
      <c r="C38" s="69" t="s">
        <v>874</v>
      </c>
      <c r="D38" s="69" t="s">
        <v>926</v>
      </c>
      <c r="E38" s="69" t="s">
        <v>876</v>
      </c>
      <c r="F38" s="69" t="s">
        <v>877</v>
      </c>
      <c r="G38" s="69" t="s">
        <v>927</v>
      </c>
      <c r="H38" s="69" t="s">
        <v>928</v>
      </c>
      <c r="I38" s="37"/>
      <c r="J38" s="37"/>
      <c r="K38" s="36" t="s">
        <v>924</v>
      </c>
    </row>
    <row r="39" spans="1:11" ht="78">
      <c r="A39" s="68" t="s">
        <v>929</v>
      </c>
      <c r="B39" s="69" t="s">
        <v>873</v>
      </c>
      <c r="C39" s="69" t="s">
        <v>874</v>
      </c>
      <c r="D39" s="69" t="s">
        <v>930</v>
      </c>
      <c r="E39" s="69" t="s">
        <v>876</v>
      </c>
      <c r="F39" s="69" t="s">
        <v>877</v>
      </c>
      <c r="G39" s="69" t="s">
        <v>931</v>
      </c>
      <c r="H39" s="69" t="s">
        <v>928</v>
      </c>
      <c r="I39" s="37"/>
      <c r="J39" s="37"/>
      <c r="K39" s="36" t="s">
        <v>924</v>
      </c>
    </row>
    <row r="40" spans="1:11" ht="78">
      <c r="A40" s="68" t="s">
        <v>932</v>
      </c>
      <c r="B40" s="69" t="s">
        <v>873</v>
      </c>
      <c r="C40" s="69" t="s">
        <v>874</v>
      </c>
      <c r="D40" s="69" t="s">
        <v>933</v>
      </c>
      <c r="E40" s="69" t="s">
        <v>876</v>
      </c>
      <c r="F40" s="69" t="s">
        <v>877</v>
      </c>
      <c r="G40" s="69" t="s">
        <v>934</v>
      </c>
      <c r="H40" s="69" t="s">
        <v>935</v>
      </c>
      <c r="I40" s="37"/>
      <c r="J40" s="37"/>
      <c r="K40" s="36" t="s">
        <v>919</v>
      </c>
    </row>
    <row r="41" spans="1:11" ht="78">
      <c r="A41" s="68" t="s">
        <v>936</v>
      </c>
      <c r="B41" s="69" t="s">
        <v>873</v>
      </c>
      <c r="C41" s="69" t="s">
        <v>874</v>
      </c>
      <c r="D41" s="69" t="s">
        <v>937</v>
      </c>
      <c r="E41" s="69" t="s">
        <v>876</v>
      </c>
      <c r="F41" s="69" t="s">
        <v>877</v>
      </c>
      <c r="G41" s="69" t="s">
        <v>938</v>
      </c>
      <c r="H41" s="69" t="s">
        <v>939</v>
      </c>
      <c r="I41" s="37"/>
      <c r="J41" s="37"/>
      <c r="K41" s="36" t="s">
        <v>924</v>
      </c>
    </row>
    <row r="42" spans="1:11" ht="78">
      <c r="A42" s="68" t="s">
        <v>940</v>
      </c>
      <c r="B42" s="69" t="s">
        <v>873</v>
      </c>
      <c r="C42" s="69" t="s">
        <v>874</v>
      </c>
      <c r="D42" s="69" t="s">
        <v>941</v>
      </c>
      <c r="E42" s="69" t="s">
        <v>876</v>
      </c>
      <c r="F42" s="69" t="s">
        <v>877</v>
      </c>
      <c r="G42" s="69" t="s">
        <v>942</v>
      </c>
      <c r="H42" s="69" t="s">
        <v>939</v>
      </c>
      <c r="I42" s="37"/>
      <c r="J42" s="37"/>
      <c r="K42" s="36" t="s">
        <v>924</v>
      </c>
    </row>
    <row r="43" spans="1:11" ht="78">
      <c r="A43" s="68" t="s">
        <v>943</v>
      </c>
      <c r="B43" s="69" t="s">
        <v>873</v>
      </c>
      <c r="C43" s="69" t="s">
        <v>874</v>
      </c>
      <c r="D43" s="69" t="s">
        <v>944</v>
      </c>
      <c r="E43" s="69" t="s">
        <v>876</v>
      </c>
      <c r="F43" s="69" t="s">
        <v>877</v>
      </c>
      <c r="G43" s="69" t="s">
        <v>945</v>
      </c>
      <c r="H43" s="69" t="s">
        <v>946</v>
      </c>
      <c r="I43" s="37"/>
      <c r="J43" s="37"/>
      <c r="K43" s="36" t="s">
        <v>924</v>
      </c>
    </row>
    <row r="44" spans="1:11" ht="78">
      <c r="A44" s="68" t="s">
        <v>947</v>
      </c>
      <c r="B44" s="69" t="s">
        <v>873</v>
      </c>
      <c r="C44" s="69" t="s">
        <v>874</v>
      </c>
      <c r="D44" s="69" t="s">
        <v>948</v>
      </c>
      <c r="E44" s="69" t="s">
        <v>876</v>
      </c>
      <c r="F44" s="69" t="s">
        <v>877</v>
      </c>
      <c r="G44" s="69" t="s">
        <v>949</v>
      </c>
      <c r="H44" s="69" t="s">
        <v>950</v>
      </c>
      <c r="I44" s="37"/>
      <c r="J44" s="37"/>
      <c r="K44" s="36" t="s">
        <v>919</v>
      </c>
    </row>
    <row r="45" spans="1:11" ht="78">
      <c r="A45" s="68" t="s">
        <v>951</v>
      </c>
      <c r="B45" s="69" t="s">
        <v>873</v>
      </c>
      <c r="C45" s="69" t="s">
        <v>874</v>
      </c>
      <c r="D45" s="69" t="s">
        <v>952</v>
      </c>
      <c r="E45" s="69" t="s">
        <v>876</v>
      </c>
      <c r="F45" s="69" t="s">
        <v>877</v>
      </c>
      <c r="G45" s="69" t="s">
        <v>953</v>
      </c>
      <c r="H45" s="69" t="s">
        <v>954</v>
      </c>
      <c r="I45" s="37"/>
      <c r="J45" s="37"/>
      <c r="K45" s="36" t="s">
        <v>955</v>
      </c>
    </row>
    <row r="46" spans="1:11" ht="78">
      <c r="A46" s="68" t="s">
        <v>956</v>
      </c>
      <c r="B46" s="69" t="s">
        <v>873</v>
      </c>
      <c r="C46" s="69" t="s">
        <v>874</v>
      </c>
      <c r="D46" s="69" t="s">
        <v>957</v>
      </c>
      <c r="E46" s="69" t="s">
        <v>876</v>
      </c>
      <c r="F46" s="69" t="s">
        <v>877</v>
      </c>
      <c r="G46" s="69" t="s">
        <v>958</v>
      </c>
      <c r="H46" s="69" t="s">
        <v>959</v>
      </c>
      <c r="I46" s="37"/>
      <c r="J46" s="37"/>
      <c r="K46" s="36" t="s">
        <v>924</v>
      </c>
    </row>
    <row r="47" spans="1:11" ht="78">
      <c r="A47" s="68" t="s">
        <v>960</v>
      </c>
      <c r="B47" s="69" t="s">
        <v>873</v>
      </c>
      <c r="C47" s="69" t="s">
        <v>874</v>
      </c>
      <c r="D47" s="69" t="s">
        <v>961</v>
      </c>
      <c r="E47" s="69" t="s">
        <v>876</v>
      </c>
      <c r="F47" s="69" t="s">
        <v>877</v>
      </c>
      <c r="G47" s="69" t="s">
        <v>962</v>
      </c>
      <c r="H47" s="69" t="s">
        <v>963</v>
      </c>
      <c r="I47" s="37"/>
      <c r="J47" s="37"/>
      <c r="K47" s="36" t="s">
        <v>924</v>
      </c>
    </row>
    <row r="48" spans="1:11" ht="78">
      <c r="A48" s="68" t="s">
        <v>964</v>
      </c>
      <c r="B48" s="69" t="s">
        <v>873</v>
      </c>
      <c r="C48" s="69" t="s">
        <v>874</v>
      </c>
      <c r="D48" s="69" t="s">
        <v>965</v>
      </c>
      <c r="E48" s="69" t="s">
        <v>876</v>
      </c>
      <c r="F48" s="69" t="s">
        <v>877</v>
      </c>
      <c r="G48" s="69" t="s">
        <v>966</v>
      </c>
      <c r="H48" s="69" t="s">
        <v>967</v>
      </c>
      <c r="I48" s="37"/>
      <c r="J48" s="37"/>
      <c r="K48" s="36" t="s">
        <v>924</v>
      </c>
    </row>
    <row r="49" spans="1:11" ht="78">
      <c r="A49" s="68" t="s">
        <v>968</v>
      </c>
      <c r="B49" s="69" t="s">
        <v>873</v>
      </c>
      <c r="C49" s="69" t="s">
        <v>874</v>
      </c>
      <c r="D49" s="69" t="s">
        <v>969</v>
      </c>
      <c r="E49" s="69" t="s">
        <v>876</v>
      </c>
      <c r="F49" s="69" t="s">
        <v>877</v>
      </c>
      <c r="G49" s="69" t="s">
        <v>970</v>
      </c>
      <c r="H49" s="69" t="s">
        <v>971</v>
      </c>
      <c r="I49" s="37"/>
      <c r="J49" s="37"/>
      <c r="K49" s="36" t="s">
        <v>919</v>
      </c>
    </row>
    <row r="50" spans="1:11" ht="78">
      <c r="A50" s="68" t="s">
        <v>972</v>
      </c>
      <c r="B50" s="69" t="s">
        <v>873</v>
      </c>
      <c r="C50" s="69" t="s">
        <v>874</v>
      </c>
      <c r="D50" s="69" t="s">
        <v>973</v>
      </c>
      <c r="E50" s="69" t="s">
        <v>876</v>
      </c>
      <c r="F50" s="69" t="s">
        <v>877</v>
      </c>
      <c r="G50" s="69" t="s">
        <v>974</v>
      </c>
      <c r="H50" s="69" t="s">
        <v>975</v>
      </c>
      <c r="I50" s="37"/>
      <c r="J50" s="37"/>
      <c r="K50" s="36" t="s">
        <v>919</v>
      </c>
    </row>
    <row r="51" spans="1:11" ht="78">
      <c r="A51" s="68" t="s">
        <v>976</v>
      </c>
      <c r="B51" s="69" t="s">
        <v>873</v>
      </c>
      <c r="C51" s="69" t="s">
        <v>874</v>
      </c>
      <c r="D51" s="69" t="s">
        <v>977</v>
      </c>
      <c r="E51" s="69" t="s">
        <v>876</v>
      </c>
      <c r="F51" s="69" t="s">
        <v>877</v>
      </c>
      <c r="G51" s="69" t="s">
        <v>978</v>
      </c>
      <c r="H51" s="69" t="s">
        <v>979</v>
      </c>
      <c r="I51" s="37"/>
      <c r="J51" s="37"/>
      <c r="K51" s="36" t="s">
        <v>919</v>
      </c>
    </row>
    <row r="52" spans="1:11" ht="78">
      <c r="A52" s="68" t="s">
        <v>980</v>
      </c>
      <c r="B52" s="69" t="s">
        <v>873</v>
      </c>
      <c r="C52" s="69" t="s">
        <v>874</v>
      </c>
      <c r="D52" s="69" t="s">
        <v>981</v>
      </c>
      <c r="E52" s="69" t="s">
        <v>876</v>
      </c>
      <c r="F52" s="69" t="s">
        <v>877</v>
      </c>
      <c r="G52" s="69" t="s">
        <v>982</v>
      </c>
      <c r="H52" s="69" t="s">
        <v>983</v>
      </c>
      <c r="I52" s="37"/>
      <c r="J52" s="37"/>
      <c r="K52" s="36" t="s">
        <v>919</v>
      </c>
    </row>
    <row r="53" spans="1:11" ht="78">
      <c r="A53" s="68" t="s">
        <v>984</v>
      </c>
      <c r="B53" s="69" t="s">
        <v>873</v>
      </c>
      <c r="C53" s="69" t="s">
        <v>874</v>
      </c>
      <c r="D53" s="69" t="s">
        <v>985</v>
      </c>
      <c r="E53" s="69" t="s">
        <v>876</v>
      </c>
      <c r="F53" s="69" t="s">
        <v>877</v>
      </c>
      <c r="G53" s="69" t="s">
        <v>986</v>
      </c>
      <c r="H53" s="69" t="s">
        <v>987</v>
      </c>
      <c r="I53" s="37"/>
      <c r="J53" s="37"/>
      <c r="K53" s="36" t="s">
        <v>919</v>
      </c>
    </row>
    <row r="54" spans="1:11" ht="78">
      <c r="A54" s="68" t="s">
        <v>988</v>
      </c>
      <c r="B54" s="69" t="s">
        <v>873</v>
      </c>
      <c r="C54" s="69" t="s">
        <v>874</v>
      </c>
      <c r="D54" s="69" t="s">
        <v>989</v>
      </c>
      <c r="E54" s="69" t="s">
        <v>876</v>
      </c>
      <c r="F54" s="69" t="s">
        <v>877</v>
      </c>
      <c r="G54" s="69" t="s">
        <v>990</v>
      </c>
      <c r="H54" s="69" t="s">
        <v>991</v>
      </c>
      <c r="I54" s="37"/>
      <c r="J54" s="37"/>
      <c r="K54" s="36" t="s">
        <v>992</v>
      </c>
    </row>
    <row r="55" spans="1:11" ht="78">
      <c r="A55" s="68" t="s">
        <v>993</v>
      </c>
      <c r="B55" s="69" t="s">
        <v>873</v>
      </c>
      <c r="C55" s="69" t="s">
        <v>874</v>
      </c>
      <c r="D55" s="69" t="s">
        <v>994</v>
      </c>
      <c r="E55" s="69" t="s">
        <v>876</v>
      </c>
      <c r="F55" s="69" t="s">
        <v>877</v>
      </c>
      <c r="G55" s="69" t="s">
        <v>995</v>
      </c>
      <c r="H55" s="69" t="s">
        <v>996</v>
      </c>
      <c r="I55" s="37"/>
      <c r="J55" s="37"/>
      <c r="K55" s="36" t="s">
        <v>924</v>
      </c>
    </row>
    <row r="56" spans="1:11" ht="78">
      <c r="A56" s="68" t="s">
        <v>997</v>
      </c>
      <c r="B56" s="69" t="s">
        <v>873</v>
      </c>
      <c r="C56" s="69" t="s">
        <v>874</v>
      </c>
      <c r="D56" s="69" t="s">
        <v>998</v>
      </c>
      <c r="E56" s="69" t="s">
        <v>876</v>
      </c>
      <c r="F56" s="69" t="s">
        <v>877</v>
      </c>
      <c r="G56" s="69" t="s">
        <v>999</v>
      </c>
      <c r="H56" s="69" t="s">
        <v>1000</v>
      </c>
      <c r="I56" s="37"/>
      <c r="J56" s="37"/>
      <c r="K56" s="36" t="s">
        <v>1001</v>
      </c>
    </row>
    <row r="57" spans="1:11" ht="78">
      <c r="A57" s="68" t="s">
        <v>1002</v>
      </c>
      <c r="B57" s="69" t="s">
        <v>873</v>
      </c>
      <c r="C57" s="69" t="s">
        <v>874</v>
      </c>
      <c r="D57" s="69" t="s">
        <v>1003</v>
      </c>
      <c r="E57" s="69" t="s">
        <v>876</v>
      </c>
      <c r="F57" s="69" t="s">
        <v>877</v>
      </c>
      <c r="G57" s="69" t="s">
        <v>1004</v>
      </c>
      <c r="H57" s="69" t="s">
        <v>1005</v>
      </c>
      <c r="I57" s="37"/>
      <c r="J57" s="37"/>
      <c r="K57" s="36" t="s">
        <v>924</v>
      </c>
    </row>
    <row r="58" spans="1:11" ht="78">
      <c r="A58" s="68" t="s">
        <v>1006</v>
      </c>
      <c r="B58" s="69" t="s">
        <v>873</v>
      </c>
      <c r="C58" s="69" t="s">
        <v>874</v>
      </c>
      <c r="D58" s="69" t="s">
        <v>1007</v>
      </c>
      <c r="E58" s="69" t="s">
        <v>876</v>
      </c>
      <c r="F58" s="69" t="s">
        <v>877</v>
      </c>
      <c r="G58" s="69" t="s">
        <v>1008</v>
      </c>
      <c r="H58" s="69" t="s">
        <v>1009</v>
      </c>
      <c r="I58" s="37"/>
      <c r="J58" s="37"/>
      <c r="K58" s="36" t="s">
        <v>919</v>
      </c>
    </row>
    <row r="59" spans="1:11" ht="78">
      <c r="A59" s="68" t="s">
        <v>1010</v>
      </c>
      <c r="B59" s="69" t="s">
        <v>873</v>
      </c>
      <c r="C59" s="69" t="s">
        <v>874</v>
      </c>
      <c r="D59" s="69" t="s">
        <v>1011</v>
      </c>
      <c r="E59" s="69" t="s">
        <v>876</v>
      </c>
      <c r="F59" s="69" t="s">
        <v>877</v>
      </c>
      <c r="G59" s="69" t="s">
        <v>1012</v>
      </c>
      <c r="H59" s="69" t="s">
        <v>1013</v>
      </c>
      <c r="I59" s="37"/>
      <c r="J59" s="37"/>
      <c r="K59" s="36" t="s">
        <v>1014</v>
      </c>
    </row>
    <row r="60" spans="1:11" ht="78">
      <c r="A60" s="68" t="s">
        <v>1015</v>
      </c>
      <c r="B60" s="69" t="s">
        <v>873</v>
      </c>
      <c r="C60" s="69" t="s">
        <v>874</v>
      </c>
      <c r="D60" s="69" t="s">
        <v>1016</v>
      </c>
      <c r="E60" s="69" t="s">
        <v>876</v>
      </c>
      <c r="F60" s="69" t="s">
        <v>877</v>
      </c>
      <c r="G60" s="69" t="s">
        <v>1017</v>
      </c>
      <c r="H60" s="69" t="s">
        <v>1018</v>
      </c>
      <c r="I60" s="37"/>
      <c r="J60" s="37"/>
      <c r="K60" s="36" t="s">
        <v>1019</v>
      </c>
    </row>
    <row r="61" spans="1:11" ht="78">
      <c r="A61" s="68" t="s">
        <v>1020</v>
      </c>
      <c r="B61" s="69" t="s">
        <v>873</v>
      </c>
      <c r="C61" s="69" t="s">
        <v>874</v>
      </c>
      <c r="D61" s="69" t="s">
        <v>1021</v>
      </c>
      <c r="E61" s="69" t="s">
        <v>876</v>
      </c>
      <c r="F61" s="69" t="s">
        <v>877</v>
      </c>
      <c r="G61" s="69" t="s">
        <v>1022</v>
      </c>
      <c r="H61" s="69" t="s">
        <v>1023</v>
      </c>
      <c r="I61" s="37"/>
      <c r="J61" s="37"/>
      <c r="K61" s="36" t="s">
        <v>1024</v>
      </c>
    </row>
    <row r="62" spans="1:11" ht="78">
      <c r="A62" s="68" t="s">
        <v>1025</v>
      </c>
      <c r="B62" s="69" t="s">
        <v>873</v>
      </c>
      <c r="C62" s="69" t="s">
        <v>874</v>
      </c>
      <c r="D62" s="69" t="s">
        <v>1026</v>
      </c>
      <c r="E62" s="69" t="s">
        <v>876</v>
      </c>
      <c r="F62" s="69" t="s">
        <v>877</v>
      </c>
      <c r="G62" s="69" t="s">
        <v>1027</v>
      </c>
      <c r="H62" s="69" t="s">
        <v>1028</v>
      </c>
      <c r="I62" s="37"/>
      <c r="J62" s="37"/>
      <c r="K62" s="36" t="s">
        <v>1029</v>
      </c>
    </row>
    <row r="63" spans="1:11" ht="78">
      <c r="A63" s="68" t="s">
        <v>1030</v>
      </c>
      <c r="B63" s="69" t="s">
        <v>873</v>
      </c>
      <c r="C63" s="69" t="s">
        <v>874</v>
      </c>
      <c r="D63" s="69" t="s">
        <v>1031</v>
      </c>
      <c r="E63" s="69" t="s">
        <v>876</v>
      </c>
      <c r="F63" s="69" t="s">
        <v>877</v>
      </c>
      <c r="G63" s="69" t="s">
        <v>1032</v>
      </c>
      <c r="H63" s="69" t="s">
        <v>1033</v>
      </c>
      <c r="I63" s="37"/>
      <c r="J63" s="37"/>
      <c r="K63" s="36" t="s">
        <v>1034</v>
      </c>
    </row>
    <row r="64" spans="1:11" ht="78">
      <c r="A64" s="68" t="s">
        <v>1035</v>
      </c>
      <c r="B64" s="69" t="s">
        <v>873</v>
      </c>
      <c r="C64" s="69" t="s">
        <v>874</v>
      </c>
      <c r="D64" s="69" t="s">
        <v>1036</v>
      </c>
      <c r="E64" s="69" t="s">
        <v>876</v>
      </c>
      <c r="F64" s="69" t="s">
        <v>877</v>
      </c>
      <c r="G64" s="69" t="s">
        <v>1037</v>
      </c>
      <c r="H64" s="69" t="s">
        <v>1038</v>
      </c>
      <c r="I64" s="37"/>
      <c r="J64" s="37"/>
      <c r="K64" s="36" t="s">
        <v>885</v>
      </c>
    </row>
    <row r="65" spans="1:11" ht="75">
      <c r="A65" s="68" t="s">
        <v>1039</v>
      </c>
      <c r="B65" s="69" t="s">
        <v>1040</v>
      </c>
      <c r="C65" s="69" t="s">
        <v>1041</v>
      </c>
      <c r="D65" s="69" t="s">
        <v>1042</v>
      </c>
      <c r="E65" s="69" t="s">
        <v>1043</v>
      </c>
      <c r="F65" s="69" t="s">
        <v>1044</v>
      </c>
      <c r="G65" s="69" t="s">
        <v>1045</v>
      </c>
      <c r="H65" s="69" t="s">
        <v>1046</v>
      </c>
      <c r="I65" s="37"/>
      <c r="J65" s="37"/>
      <c r="K65" s="36" t="s">
        <v>1047</v>
      </c>
    </row>
    <row r="66" spans="1:11" ht="75">
      <c r="A66" s="68" t="s">
        <v>1048</v>
      </c>
      <c r="B66" s="69" t="s">
        <v>1040</v>
      </c>
      <c r="C66" s="69" t="s">
        <v>1041</v>
      </c>
      <c r="D66" s="69" t="s">
        <v>1049</v>
      </c>
      <c r="E66" s="69" t="s">
        <v>1043</v>
      </c>
      <c r="F66" s="69" t="s">
        <v>1044</v>
      </c>
      <c r="G66" s="69" t="s">
        <v>1050</v>
      </c>
      <c r="H66" s="69" t="s">
        <v>1051</v>
      </c>
      <c r="I66" s="37"/>
      <c r="J66" s="37"/>
      <c r="K66" s="36" t="s">
        <v>1047</v>
      </c>
    </row>
    <row r="67" spans="1:11" ht="75">
      <c r="A67" s="68" t="s">
        <v>1052</v>
      </c>
      <c r="B67" s="69" t="s">
        <v>1040</v>
      </c>
      <c r="C67" s="69" t="s">
        <v>1041</v>
      </c>
      <c r="D67" s="69" t="s">
        <v>1053</v>
      </c>
      <c r="E67" s="69" t="s">
        <v>1043</v>
      </c>
      <c r="F67" s="69" t="s">
        <v>1044</v>
      </c>
      <c r="G67" s="69" t="s">
        <v>1054</v>
      </c>
      <c r="H67" s="69" t="s">
        <v>1055</v>
      </c>
      <c r="I67" s="37"/>
      <c r="J67" s="37"/>
      <c r="K67" s="36" t="s">
        <v>1047</v>
      </c>
    </row>
    <row r="68" spans="1:11" ht="75">
      <c r="A68" s="68" t="s">
        <v>1056</v>
      </c>
      <c r="B68" s="69" t="s">
        <v>1040</v>
      </c>
      <c r="C68" s="69" t="s">
        <v>1041</v>
      </c>
      <c r="D68" s="69" t="s">
        <v>1057</v>
      </c>
      <c r="E68" s="69" t="s">
        <v>1043</v>
      </c>
      <c r="F68" s="69" t="s">
        <v>1044</v>
      </c>
      <c r="G68" s="69" t="s">
        <v>1058</v>
      </c>
      <c r="H68" s="69" t="s">
        <v>1059</v>
      </c>
      <c r="I68" s="37"/>
      <c r="J68" s="37"/>
      <c r="K68" s="36" t="s">
        <v>1047</v>
      </c>
    </row>
    <row r="69" spans="1:11" ht="75">
      <c r="A69" s="68" t="s">
        <v>1060</v>
      </c>
      <c r="B69" s="69" t="s">
        <v>1040</v>
      </c>
      <c r="C69" s="69" t="s">
        <v>1041</v>
      </c>
      <c r="D69" s="69" t="s">
        <v>1061</v>
      </c>
      <c r="E69" s="69" t="s">
        <v>1043</v>
      </c>
      <c r="F69" s="69" t="s">
        <v>1044</v>
      </c>
      <c r="G69" s="69" t="s">
        <v>1062</v>
      </c>
      <c r="H69" s="69" t="s">
        <v>1063</v>
      </c>
      <c r="I69" s="37"/>
      <c r="J69" s="37"/>
      <c r="K69" s="36" t="s">
        <v>1047</v>
      </c>
    </row>
    <row r="70" spans="1:11" ht="75">
      <c r="A70" s="68" t="s">
        <v>1064</v>
      </c>
      <c r="B70" s="69" t="s">
        <v>1040</v>
      </c>
      <c r="C70" s="69" t="s">
        <v>1041</v>
      </c>
      <c r="D70" s="69" t="s">
        <v>1065</v>
      </c>
      <c r="E70" s="69" t="s">
        <v>1043</v>
      </c>
      <c r="F70" s="69" t="s">
        <v>1044</v>
      </c>
      <c r="G70" s="69" t="s">
        <v>1066</v>
      </c>
      <c r="H70" s="69" t="s">
        <v>1067</v>
      </c>
      <c r="I70" s="37"/>
      <c r="J70" s="37"/>
      <c r="K70" s="36" t="s">
        <v>1047</v>
      </c>
    </row>
    <row r="71" spans="1:11" ht="75">
      <c r="A71" s="68" t="s">
        <v>1068</v>
      </c>
      <c r="B71" s="69" t="s">
        <v>1040</v>
      </c>
      <c r="C71" s="69" t="s">
        <v>1041</v>
      </c>
      <c r="D71" s="69" t="s">
        <v>1069</v>
      </c>
      <c r="E71" s="69" t="s">
        <v>1043</v>
      </c>
      <c r="F71" s="69" t="s">
        <v>1044</v>
      </c>
      <c r="G71" s="69" t="s">
        <v>1070</v>
      </c>
      <c r="H71" s="69" t="s">
        <v>1071</v>
      </c>
      <c r="I71" s="37"/>
      <c r="J71" s="37"/>
      <c r="K71" s="36" t="s">
        <v>1047</v>
      </c>
    </row>
    <row r="72" spans="1:11" ht="75">
      <c r="A72" s="68" t="s">
        <v>1072</v>
      </c>
      <c r="B72" s="69" t="s">
        <v>1040</v>
      </c>
      <c r="C72" s="69" t="s">
        <v>1041</v>
      </c>
      <c r="D72" s="69" t="s">
        <v>1073</v>
      </c>
      <c r="E72" s="69" t="s">
        <v>1043</v>
      </c>
      <c r="F72" s="69" t="s">
        <v>1044</v>
      </c>
      <c r="G72" s="69" t="s">
        <v>1074</v>
      </c>
      <c r="H72" s="69" t="s">
        <v>1071</v>
      </c>
      <c r="I72" s="37"/>
      <c r="J72" s="37"/>
      <c r="K72" s="36" t="s">
        <v>1047</v>
      </c>
    </row>
    <row r="73" spans="1:11" ht="75">
      <c r="A73" s="68" t="s">
        <v>1075</v>
      </c>
      <c r="B73" s="69" t="s">
        <v>1040</v>
      </c>
      <c r="C73" s="69" t="s">
        <v>1041</v>
      </c>
      <c r="D73" s="69" t="s">
        <v>1076</v>
      </c>
      <c r="E73" s="69" t="s">
        <v>1043</v>
      </c>
      <c r="F73" s="69" t="s">
        <v>1044</v>
      </c>
      <c r="G73" s="69" t="s">
        <v>1077</v>
      </c>
      <c r="H73" s="69" t="s">
        <v>1078</v>
      </c>
      <c r="I73" s="37"/>
      <c r="J73" s="37"/>
      <c r="K73" s="36" t="s">
        <v>1047</v>
      </c>
    </row>
    <row r="74" spans="1:11" ht="75">
      <c r="A74" s="68" t="s">
        <v>1079</v>
      </c>
      <c r="B74" s="69" t="s">
        <v>1040</v>
      </c>
      <c r="C74" s="69" t="s">
        <v>1041</v>
      </c>
      <c r="D74" s="69" t="s">
        <v>1080</v>
      </c>
      <c r="E74" s="69" t="s">
        <v>1043</v>
      </c>
      <c r="F74" s="69" t="s">
        <v>1044</v>
      </c>
      <c r="G74" s="69" t="s">
        <v>1081</v>
      </c>
      <c r="H74" s="69" t="s">
        <v>1082</v>
      </c>
      <c r="I74" s="37"/>
      <c r="J74" s="37"/>
      <c r="K74" s="36" t="s">
        <v>1047</v>
      </c>
    </row>
    <row r="75" spans="1:11" ht="75">
      <c r="A75" s="68" t="s">
        <v>1083</v>
      </c>
      <c r="B75" s="69" t="s">
        <v>1040</v>
      </c>
      <c r="C75" s="69" t="s">
        <v>1041</v>
      </c>
      <c r="D75" s="69" t="s">
        <v>1084</v>
      </c>
      <c r="E75" s="69" t="s">
        <v>1043</v>
      </c>
      <c r="F75" s="69" t="s">
        <v>1044</v>
      </c>
      <c r="G75" s="69" t="s">
        <v>1085</v>
      </c>
      <c r="H75" s="69" t="s">
        <v>1086</v>
      </c>
      <c r="I75" s="37"/>
      <c r="J75" s="37"/>
      <c r="K75" s="36" t="s">
        <v>1087</v>
      </c>
    </row>
    <row r="76" spans="1:11" ht="75">
      <c r="A76" s="68" t="s">
        <v>1088</v>
      </c>
      <c r="B76" s="69" t="s">
        <v>1040</v>
      </c>
      <c r="C76" s="69" t="s">
        <v>1041</v>
      </c>
      <c r="D76" s="69" t="s">
        <v>1089</v>
      </c>
      <c r="E76" s="69" t="s">
        <v>1043</v>
      </c>
      <c r="F76" s="69" t="s">
        <v>1044</v>
      </c>
      <c r="G76" s="69" t="s">
        <v>1090</v>
      </c>
      <c r="H76" s="69" t="s">
        <v>1091</v>
      </c>
      <c r="I76" s="37"/>
      <c r="J76" s="37"/>
      <c r="K76" s="36" t="s">
        <v>1047</v>
      </c>
    </row>
    <row r="77" spans="1:11" ht="75">
      <c r="A77" s="68" t="s">
        <v>1092</v>
      </c>
      <c r="B77" s="69" t="s">
        <v>1040</v>
      </c>
      <c r="C77" s="69" t="s">
        <v>1041</v>
      </c>
      <c r="D77" s="69" t="s">
        <v>1093</v>
      </c>
      <c r="E77" s="69" t="s">
        <v>1043</v>
      </c>
      <c r="F77" s="69" t="s">
        <v>1044</v>
      </c>
      <c r="G77" s="69" t="s">
        <v>1094</v>
      </c>
      <c r="H77" s="69" t="s">
        <v>1095</v>
      </c>
      <c r="I77" s="37"/>
      <c r="J77" s="37"/>
      <c r="K77" s="36" t="s">
        <v>1047</v>
      </c>
    </row>
    <row r="78" spans="1:11" ht="75">
      <c r="A78" s="68" t="s">
        <v>1096</v>
      </c>
      <c r="B78" s="69" t="s">
        <v>1040</v>
      </c>
      <c r="C78" s="69" t="s">
        <v>1041</v>
      </c>
      <c r="D78" s="69" t="s">
        <v>1097</v>
      </c>
      <c r="E78" s="69" t="s">
        <v>1043</v>
      </c>
      <c r="F78" s="69" t="s">
        <v>1044</v>
      </c>
      <c r="G78" s="69" t="s">
        <v>1098</v>
      </c>
      <c r="H78" s="69" t="s">
        <v>1099</v>
      </c>
      <c r="I78" s="37"/>
      <c r="J78" s="37"/>
      <c r="K78" s="36" t="s">
        <v>1087</v>
      </c>
    </row>
    <row r="79" spans="1:11" ht="75">
      <c r="A79" s="68" t="s">
        <v>1100</v>
      </c>
      <c r="B79" s="69" t="s">
        <v>1040</v>
      </c>
      <c r="C79" s="69" t="s">
        <v>1041</v>
      </c>
      <c r="D79" s="69" t="s">
        <v>1101</v>
      </c>
      <c r="E79" s="69" t="s">
        <v>1043</v>
      </c>
      <c r="F79" s="69" t="s">
        <v>1044</v>
      </c>
      <c r="G79" s="69" t="s">
        <v>1102</v>
      </c>
      <c r="H79" s="69" t="s">
        <v>1103</v>
      </c>
      <c r="I79" s="37"/>
      <c r="J79" s="37"/>
      <c r="K79" s="36" t="s">
        <v>1047</v>
      </c>
    </row>
    <row r="80" spans="1:11" ht="75">
      <c r="A80" s="68" t="s">
        <v>1104</v>
      </c>
      <c r="B80" s="69" t="s">
        <v>1040</v>
      </c>
      <c r="C80" s="69" t="s">
        <v>1041</v>
      </c>
      <c r="D80" s="69" t="s">
        <v>1105</v>
      </c>
      <c r="E80" s="69" t="s">
        <v>1043</v>
      </c>
      <c r="F80" s="69" t="s">
        <v>1044</v>
      </c>
      <c r="G80" s="69" t="s">
        <v>1106</v>
      </c>
      <c r="H80" s="69" t="s">
        <v>1107</v>
      </c>
      <c r="I80" s="37"/>
      <c r="J80" s="37"/>
      <c r="K80" s="36" t="s">
        <v>1087</v>
      </c>
    </row>
    <row r="81" spans="1:11" ht="75">
      <c r="A81" s="68" t="s">
        <v>1108</v>
      </c>
      <c r="B81" s="69" t="s">
        <v>1040</v>
      </c>
      <c r="C81" s="69" t="s">
        <v>1041</v>
      </c>
      <c r="D81" s="69" t="s">
        <v>1109</v>
      </c>
      <c r="E81" s="69" t="s">
        <v>1043</v>
      </c>
      <c r="F81" s="69" t="s">
        <v>1044</v>
      </c>
      <c r="G81" s="69" t="s">
        <v>1110</v>
      </c>
      <c r="H81" s="69" t="s">
        <v>1111</v>
      </c>
      <c r="I81" s="37"/>
      <c r="J81" s="37"/>
      <c r="K81" s="36" t="s">
        <v>1112</v>
      </c>
    </row>
    <row r="82" spans="1:11" ht="75">
      <c r="A82" s="68" t="s">
        <v>1113</v>
      </c>
      <c r="B82" s="69" t="s">
        <v>1040</v>
      </c>
      <c r="C82" s="69" t="s">
        <v>1041</v>
      </c>
      <c r="D82" s="69" t="s">
        <v>1114</v>
      </c>
      <c r="E82" s="69" t="s">
        <v>1043</v>
      </c>
      <c r="F82" s="69" t="s">
        <v>1044</v>
      </c>
      <c r="G82" s="69" t="s">
        <v>1115</v>
      </c>
      <c r="H82" s="69" t="s">
        <v>1116</v>
      </c>
      <c r="I82" s="37"/>
      <c r="J82" s="37"/>
      <c r="K82" s="36" t="s">
        <v>1112</v>
      </c>
    </row>
    <row r="83" spans="1:11" ht="75">
      <c r="A83" s="68" t="s">
        <v>1117</v>
      </c>
      <c r="B83" s="69" t="s">
        <v>1040</v>
      </c>
      <c r="C83" s="69" t="s">
        <v>1041</v>
      </c>
      <c r="D83" s="69" t="s">
        <v>1118</v>
      </c>
      <c r="E83" s="69" t="s">
        <v>1043</v>
      </c>
      <c r="F83" s="69" t="s">
        <v>1044</v>
      </c>
      <c r="G83" s="69" t="s">
        <v>1119</v>
      </c>
      <c r="H83" s="69" t="s">
        <v>1120</v>
      </c>
      <c r="I83" s="37"/>
      <c r="J83" s="37"/>
      <c r="K83" s="36" t="s">
        <v>1112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83" xr:uid="{00000000-0002-0000-08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6"/>
  <sheetViews>
    <sheetView topLeftCell="A32" workbookViewId="0">
      <selection activeCell="D24" sqref="D24"/>
    </sheetView>
  </sheetViews>
  <sheetFormatPr defaultRowHeight="13"/>
  <cols>
    <col min="1" max="1" width="14" style="52" customWidth="1"/>
    <col min="2" max="2" width="29.6328125" style="52" customWidth="1"/>
    <col min="3" max="3" width="22.7265625" style="52" customWidth="1"/>
    <col min="4" max="4" width="38" style="52" customWidth="1"/>
    <col min="5" max="5" width="34" style="52" customWidth="1"/>
    <col min="6" max="6" width="44" style="52" customWidth="1"/>
    <col min="7" max="7" width="30" style="52" customWidth="1"/>
    <col min="8" max="8" width="42" style="52" customWidth="1"/>
    <col min="9" max="10" width="17.36328125" style="52" customWidth="1"/>
    <col min="11" max="11" width="31" style="52" customWidth="1"/>
    <col min="12" max="16384" width="8.7265625" style="52"/>
  </cols>
  <sheetData>
    <row r="1" spans="1:11" ht="27.5">
      <c r="A1" s="50" t="s">
        <v>20</v>
      </c>
      <c r="B1" s="50"/>
      <c r="C1" s="50"/>
      <c r="D1" s="50"/>
      <c r="E1" s="50"/>
      <c r="F1" s="51"/>
      <c r="G1" s="51"/>
      <c r="H1" s="51"/>
      <c r="I1" s="51"/>
      <c r="J1" s="51"/>
      <c r="K1" s="51"/>
    </row>
    <row r="2" spans="1:11" ht="14">
      <c r="A2" s="53" t="s">
        <v>21</v>
      </c>
      <c r="B2" s="53"/>
      <c r="C2" s="54" t="s">
        <v>1121</v>
      </c>
      <c r="D2" s="54"/>
      <c r="E2" s="54"/>
      <c r="F2" s="51"/>
      <c r="G2" s="51"/>
      <c r="H2" s="51"/>
      <c r="I2" s="51"/>
      <c r="J2" s="51"/>
      <c r="K2" s="51"/>
    </row>
    <row r="3" spans="1:11" ht="14">
      <c r="A3" s="53" t="s">
        <v>23</v>
      </c>
      <c r="B3" s="53"/>
      <c r="C3" s="55" t="s">
        <v>1122</v>
      </c>
      <c r="D3" s="55"/>
      <c r="E3" s="55"/>
      <c r="F3" s="51"/>
      <c r="G3" s="51"/>
      <c r="H3" s="51"/>
      <c r="I3" s="51"/>
      <c r="J3" s="51"/>
      <c r="K3" s="51"/>
    </row>
    <row r="4" spans="1:11" ht="14">
      <c r="A4" s="53" t="s">
        <v>25</v>
      </c>
      <c r="B4" s="53"/>
      <c r="C4" s="55"/>
      <c r="D4" s="55"/>
      <c r="E4" s="55"/>
      <c r="F4" s="51"/>
      <c r="G4" s="51"/>
      <c r="H4" s="51"/>
      <c r="I4" s="51"/>
      <c r="J4" s="51"/>
      <c r="K4" s="51"/>
    </row>
    <row r="5" spans="1:11" ht="14">
      <c r="A5" s="56" t="s">
        <v>26</v>
      </c>
      <c r="B5" s="57" t="s">
        <v>27</v>
      </c>
      <c r="C5" s="58" t="s">
        <v>28</v>
      </c>
      <c r="D5" s="59" t="s">
        <v>5</v>
      </c>
      <c r="E5" s="60" t="s">
        <v>29</v>
      </c>
      <c r="F5" s="51"/>
      <c r="G5" s="51"/>
      <c r="H5" s="51"/>
      <c r="I5" s="51"/>
      <c r="J5" s="51"/>
      <c r="K5" s="51"/>
    </row>
    <row r="6" spans="1:11" ht="14">
      <c r="A6" s="61">
        <f>COUNTIF(I10:I21,"Passed")</f>
        <v>0</v>
      </c>
      <c r="B6" s="62">
        <f>COUNTIF(I10:I21,"Failed")</f>
        <v>0</v>
      </c>
      <c r="C6" s="62">
        <f>COUNTIF(I10:I21,"N/A")</f>
        <v>0</v>
      </c>
      <c r="D6" s="62">
        <f>E6-C6-A6-B6</f>
        <v>12</v>
      </c>
      <c r="E6" s="63">
        <f>COUNTA(A10:A21)</f>
        <v>12</v>
      </c>
      <c r="F6" s="51"/>
      <c r="G6" s="51"/>
      <c r="H6" s="51"/>
      <c r="I6" s="51"/>
      <c r="J6" s="51"/>
      <c r="K6" s="51"/>
    </row>
    <row r="7" spans="1:11" ht="14">
      <c r="A7" s="64">
        <f>COUNTIF(J10:J21,"Passed")</f>
        <v>0</v>
      </c>
      <c r="B7" s="65">
        <f>COUNTIF(J10:J21,"Failed")</f>
        <v>0</v>
      </c>
      <c r="C7" s="65">
        <f>COUNTIF(J10:J21,"N/A")</f>
        <v>0</v>
      </c>
      <c r="D7" s="65">
        <f>E7-C7-A7-B7</f>
        <v>12</v>
      </c>
      <c r="E7" s="66">
        <f>COUNTA(A10:A21)</f>
        <v>12</v>
      </c>
      <c r="F7" s="51"/>
      <c r="G7" s="51"/>
      <c r="H7" s="51"/>
      <c r="I7" s="51"/>
      <c r="J7" s="51"/>
      <c r="K7" s="51"/>
    </row>
    <row r="8" spans="1:11"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11">
      <c r="A9" s="67" t="s">
        <v>30</v>
      </c>
      <c r="B9" s="67" t="s">
        <v>31</v>
      </c>
      <c r="C9" s="67" t="s">
        <v>32</v>
      </c>
      <c r="D9" s="67" t="s">
        <v>33</v>
      </c>
      <c r="E9" s="67" t="s">
        <v>34</v>
      </c>
      <c r="F9" s="67" t="s">
        <v>35</v>
      </c>
      <c r="G9" s="67" t="s">
        <v>36</v>
      </c>
      <c r="H9" s="67" t="s">
        <v>37</v>
      </c>
      <c r="I9" s="67" t="s">
        <v>38</v>
      </c>
      <c r="J9" s="67" t="s">
        <v>39</v>
      </c>
      <c r="K9" s="67" t="s">
        <v>40</v>
      </c>
    </row>
    <row r="10" spans="1:11" ht="52">
      <c r="A10" s="68" t="s">
        <v>1123</v>
      </c>
      <c r="B10" s="69" t="s">
        <v>1124</v>
      </c>
      <c r="C10" s="69" t="s">
        <v>1125</v>
      </c>
      <c r="D10" s="69" t="s">
        <v>1126</v>
      </c>
      <c r="E10" s="69" t="s">
        <v>1127</v>
      </c>
      <c r="F10" s="69" t="s">
        <v>1128</v>
      </c>
      <c r="G10" s="69" t="s">
        <v>1129</v>
      </c>
      <c r="H10" s="69" t="s">
        <v>1130</v>
      </c>
      <c r="I10" s="68"/>
      <c r="J10" s="68"/>
      <c r="K10" s="69" t="s">
        <v>1131</v>
      </c>
    </row>
    <row r="11" spans="1:11" ht="52">
      <c r="A11" s="68" t="s">
        <v>1132</v>
      </c>
      <c r="B11" s="69" t="s">
        <v>1124</v>
      </c>
      <c r="C11" s="69" t="s">
        <v>1125</v>
      </c>
      <c r="D11" s="69" t="s">
        <v>1133</v>
      </c>
      <c r="E11" s="69" t="s">
        <v>1127</v>
      </c>
      <c r="F11" s="69" t="s">
        <v>1128</v>
      </c>
      <c r="G11" s="69" t="s">
        <v>1134</v>
      </c>
      <c r="H11" s="69" t="s">
        <v>1135</v>
      </c>
      <c r="I11" s="68"/>
      <c r="J11" s="68"/>
      <c r="K11" s="69" t="s">
        <v>1136</v>
      </c>
    </row>
    <row r="12" spans="1:11" ht="52">
      <c r="A12" s="68" t="s">
        <v>1137</v>
      </c>
      <c r="B12" s="69" t="s">
        <v>1124</v>
      </c>
      <c r="C12" s="69" t="s">
        <v>1125</v>
      </c>
      <c r="D12" s="69" t="s">
        <v>1138</v>
      </c>
      <c r="E12" s="69" t="s">
        <v>1127</v>
      </c>
      <c r="F12" s="69" t="s">
        <v>1128</v>
      </c>
      <c r="G12" s="69" t="s">
        <v>1139</v>
      </c>
      <c r="H12" s="69" t="s">
        <v>1140</v>
      </c>
      <c r="I12" s="68"/>
      <c r="J12" s="68"/>
      <c r="K12" s="69" t="s">
        <v>1131</v>
      </c>
    </row>
    <row r="13" spans="1:11" ht="52">
      <c r="A13" s="68" t="s">
        <v>1141</v>
      </c>
      <c r="B13" s="69" t="s">
        <v>1124</v>
      </c>
      <c r="C13" s="69" t="s">
        <v>1125</v>
      </c>
      <c r="D13" s="69" t="s">
        <v>1142</v>
      </c>
      <c r="E13" s="69" t="s">
        <v>1127</v>
      </c>
      <c r="F13" s="69" t="s">
        <v>1128</v>
      </c>
      <c r="G13" s="69" t="s">
        <v>1143</v>
      </c>
      <c r="H13" s="69" t="s">
        <v>1144</v>
      </c>
      <c r="I13" s="68"/>
      <c r="J13" s="68"/>
      <c r="K13" s="69" t="s">
        <v>1131</v>
      </c>
    </row>
    <row r="14" spans="1:11" ht="52">
      <c r="A14" s="68" t="s">
        <v>1145</v>
      </c>
      <c r="B14" s="69" t="s">
        <v>1124</v>
      </c>
      <c r="C14" s="69" t="s">
        <v>1125</v>
      </c>
      <c r="D14" s="69" t="s">
        <v>1146</v>
      </c>
      <c r="E14" s="69" t="s">
        <v>1127</v>
      </c>
      <c r="F14" s="69" t="s">
        <v>1128</v>
      </c>
      <c r="G14" s="69" t="s">
        <v>1119</v>
      </c>
      <c r="H14" s="69" t="s">
        <v>1147</v>
      </c>
      <c r="I14" s="68"/>
      <c r="J14" s="68"/>
      <c r="K14" s="69" t="s">
        <v>1136</v>
      </c>
    </row>
    <row r="15" spans="1:11" ht="52">
      <c r="A15" s="68" t="s">
        <v>1148</v>
      </c>
      <c r="B15" s="69" t="s">
        <v>1124</v>
      </c>
      <c r="C15" s="69" t="s">
        <v>1125</v>
      </c>
      <c r="D15" s="69" t="s">
        <v>1149</v>
      </c>
      <c r="E15" s="69" t="s">
        <v>1127</v>
      </c>
      <c r="F15" s="69" t="s">
        <v>1128</v>
      </c>
      <c r="G15" s="69" t="s">
        <v>1150</v>
      </c>
      <c r="H15" s="69" t="s">
        <v>1151</v>
      </c>
      <c r="I15" s="68"/>
      <c r="J15" s="68"/>
      <c r="K15" s="69" t="s">
        <v>1136</v>
      </c>
    </row>
    <row r="16" spans="1:11" ht="52">
      <c r="A16" s="68" t="s">
        <v>1152</v>
      </c>
      <c r="B16" s="69" t="s">
        <v>1124</v>
      </c>
      <c r="C16" s="69" t="s">
        <v>1125</v>
      </c>
      <c r="D16" s="69" t="s">
        <v>1153</v>
      </c>
      <c r="E16" s="69" t="s">
        <v>1127</v>
      </c>
      <c r="F16" s="69" t="s">
        <v>1128</v>
      </c>
      <c r="G16" s="69" t="s">
        <v>1154</v>
      </c>
      <c r="H16" s="69" t="s">
        <v>1155</v>
      </c>
      <c r="I16" s="68"/>
      <c r="J16" s="68"/>
      <c r="K16" s="69" t="s">
        <v>1156</v>
      </c>
    </row>
    <row r="17" spans="1:11" ht="52">
      <c r="A17" s="68" t="s">
        <v>1157</v>
      </c>
      <c r="B17" s="69" t="s">
        <v>1124</v>
      </c>
      <c r="C17" s="69" t="s">
        <v>1125</v>
      </c>
      <c r="D17" s="69" t="s">
        <v>1158</v>
      </c>
      <c r="E17" s="69" t="s">
        <v>1127</v>
      </c>
      <c r="F17" s="69" t="s">
        <v>1128</v>
      </c>
      <c r="G17" s="69" t="s">
        <v>1159</v>
      </c>
      <c r="H17" s="69" t="s">
        <v>1160</v>
      </c>
      <c r="I17" s="68"/>
      <c r="J17" s="68"/>
      <c r="K17" s="69" t="s">
        <v>1156</v>
      </c>
    </row>
    <row r="18" spans="1:11" ht="52">
      <c r="A18" s="68" t="s">
        <v>1161</v>
      </c>
      <c r="B18" s="69" t="s">
        <v>1124</v>
      </c>
      <c r="C18" s="69" t="s">
        <v>1125</v>
      </c>
      <c r="D18" s="69" t="s">
        <v>1162</v>
      </c>
      <c r="E18" s="69" t="s">
        <v>1127</v>
      </c>
      <c r="F18" s="69" t="s">
        <v>1128</v>
      </c>
      <c r="G18" s="69" t="s">
        <v>1163</v>
      </c>
      <c r="H18" s="69" t="s">
        <v>1164</v>
      </c>
      <c r="I18" s="68"/>
      <c r="J18" s="68"/>
      <c r="K18" s="69" t="s">
        <v>1131</v>
      </c>
    </row>
    <row r="19" spans="1:11" ht="52">
      <c r="A19" s="68" t="s">
        <v>1165</v>
      </c>
      <c r="B19" s="69" t="s">
        <v>1124</v>
      </c>
      <c r="C19" s="69" t="s">
        <v>1125</v>
      </c>
      <c r="D19" s="69" t="s">
        <v>1166</v>
      </c>
      <c r="E19" s="69" t="s">
        <v>1127</v>
      </c>
      <c r="F19" s="69" t="s">
        <v>1128</v>
      </c>
      <c r="G19" s="69" t="s">
        <v>1167</v>
      </c>
      <c r="H19" s="69" t="s">
        <v>1168</v>
      </c>
      <c r="I19" s="68"/>
      <c r="J19" s="68"/>
      <c r="K19" s="69" t="s">
        <v>1136</v>
      </c>
    </row>
    <row r="20" spans="1:11" ht="52">
      <c r="A20" s="68" t="s">
        <v>1169</v>
      </c>
      <c r="B20" s="69" t="s">
        <v>1124</v>
      </c>
      <c r="C20" s="69" t="s">
        <v>1125</v>
      </c>
      <c r="D20" s="69" t="s">
        <v>1170</v>
      </c>
      <c r="E20" s="69" t="s">
        <v>1127</v>
      </c>
      <c r="F20" s="69" t="s">
        <v>1128</v>
      </c>
      <c r="G20" s="69" t="s">
        <v>1171</v>
      </c>
      <c r="H20" s="69" t="s">
        <v>1172</v>
      </c>
      <c r="I20" s="68"/>
      <c r="J20" s="68"/>
      <c r="K20" s="69" t="s">
        <v>1131</v>
      </c>
    </row>
    <row r="21" spans="1:11" ht="52">
      <c r="A21" s="68" t="s">
        <v>1173</v>
      </c>
      <c r="B21" s="69" t="s">
        <v>1124</v>
      </c>
      <c r="C21" s="69" t="s">
        <v>1125</v>
      </c>
      <c r="D21" s="69" t="s">
        <v>1174</v>
      </c>
      <c r="E21" s="69" t="s">
        <v>1127</v>
      </c>
      <c r="F21" s="69" t="s">
        <v>1128</v>
      </c>
      <c r="G21" s="69" t="s">
        <v>1175</v>
      </c>
      <c r="H21" s="69" t="s">
        <v>1176</v>
      </c>
      <c r="I21" s="68"/>
      <c r="J21" s="68"/>
      <c r="K21" s="69" t="s">
        <v>1136</v>
      </c>
    </row>
    <row r="22" spans="1:11" ht="52">
      <c r="A22" s="68" t="s">
        <v>1177</v>
      </c>
      <c r="B22" s="69" t="s">
        <v>1178</v>
      </c>
      <c r="C22" s="69" t="s">
        <v>1179</v>
      </c>
      <c r="D22" s="69" t="s">
        <v>1180</v>
      </c>
      <c r="E22" s="69" t="s">
        <v>1181</v>
      </c>
      <c r="F22" s="69" t="s">
        <v>1182</v>
      </c>
      <c r="G22" s="69" t="s">
        <v>1183</v>
      </c>
      <c r="H22" s="69" t="s">
        <v>1184</v>
      </c>
      <c r="I22" s="68"/>
      <c r="J22" s="68"/>
      <c r="K22" s="69" t="s">
        <v>1185</v>
      </c>
    </row>
    <row r="23" spans="1:11" ht="52">
      <c r="A23" s="68" t="s">
        <v>1186</v>
      </c>
      <c r="B23" s="69" t="s">
        <v>1178</v>
      </c>
      <c r="C23" s="69" t="s">
        <v>1179</v>
      </c>
      <c r="D23" s="69" t="s">
        <v>1187</v>
      </c>
      <c r="E23" s="69" t="s">
        <v>1181</v>
      </c>
      <c r="F23" s="69" t="s">
        <v>1182</v>
      </c>
      <c r="G23" s="69" t="s">
        <v>1188</v>
      </c>
      <c r="H23" s="69" t="s">
        <v>1189</v>
      </c>
      <c r="I23" s="68"/>
      <c r="J23" s="68"/>
      <c r="K23" s="69" t="s">
        <v>1185</v>
      </c>
    </row>
    <row r="24" spans="1:11" ht="52">
      <c r="A24" s="68" t="s">
        <v>1190</v>
      </c>
      <c r="B24" s="69" t="s">
        <v>1178</v>
      </c>
      <c r="C24" s="69" t="s">
        <v>1179</v>
      </c>
      <c r="D24" s="69" t="s">
        <v>1191</v>
      </c>
      <c r="E24" s="69" t="s">
        <v>1181</v>
      </c>
      <c r="F24" s="69" t="s">
        <v>1182</v>
      </c>
      <c r="G24" s="69" t="s">
        <v>1192</v>
      </c>
      <c r="H24" s="69" t="s">
        <v>1193</v>
      </c>
      <c r="I24" s="68"/>
      <c r="J24" s="68"/>
      <c r="K24" s="69" t="s">
        <v>1185</v>
      </c>
    </row>
    <row r="25" spans="1:11" ht="52">
      <c r="A25" s="68" t="s">
        <v>1194</v>
      </c>
      <c r="B25" s="69" t="s">
        <v>1178</v>
      </c>
      <c r="C25" s="69" t="s">
        <v>1179</v>
      </c>
      <c r="D25" s="69" t="s">
        <v>1195</v>
      </c>
      <c r="E25" s="69" t="s">
        <v>1181</v>
      </c>
      <c r="F25" s="69" t="s">
        <v>1182</v>
      </c>
      <c r="G25" s="69" t="s">
        <v>1196</v>
      </c>
      <c r="H25" s="69" t="s">
        <v>1197</v>
      </c>
      <c r="I25" s="68"/>
      <c r="J25" s="68"/>
      <c r="K25" s="69" t="s">
        <v>1198</v>
      </c>
    </row>
    <row r="26" spans="1:11" ht="52">
      <c r="A26" s="68" t="s">
        <v>1199</v>
      </c>
      <c r="B26" s="69" t="s">
        <v>1178</v>
      </c>
      <c r="C26" s="69" t="s">
        <v>1179</v>
      </c>
      <c r="D26" s="69" t="s">
        <v>1200</v>
      </c>
      <c r="E26" s="69" t="s">
        <v>1181</v>
      </c>
      <c r="F26" s="69" t="s">
        <v>1182</v>
      </c>
      <c r="G26" s="69" t="s">
        <v>1201</v>
      </c>
      <c r="H26" s="69" t="s">
        <v>1202</v>
      </c>
      <c r="I26" s="68"/>
      <c r="J26" s="68"/>
      <c r="K26" s="69" t="s">
        <v>1198</v>
      </c>
    </row>
    <row r="27" spans="1:11" ht="52">
      <c r="A27" s="68" t="s">
        <v>1203</v>
      </c>
      <c r="B27" s="69" t="s">
        <v>1178</v>
      </c>
      <c r="C27" s="69" t="s">
        <v>1179</v>
      </c>
      <c r="D27" s="69" t="s">
        <v>1204</v>
      </c>
      <c r="E27" s="69" t="s">
        <v>1181</v>
      </c>
      <c r="F27" s="69" t="s">
        <v>1182</v>
      </c>
      <c r="G27" s="69" t="s">
        <v>1205</v>
      </c>
      <c r="H27" s="69" t="s">
        <v>1206</v>
      </c>
      <c r="I27" s="68"/>
      <c r="J27" s="68"/>
      <c r="K27" s="69" t="s">
        <v>1198</v>
      </c>
    </row>
    <row r="28" spans="1:11" ht="52">
      <c r="A28" s="68" t="s">
        <v>1207</v>
      </c>
      <c r="B28" s="69" t="s">
        <v>1178</v>
      </c>
      <c r="C28" s="69" t="s">
        <v>1179</v>
      </c>
      <c r="D28" s="69" t="s">
        <v>1208</v>
      </c>
      <c r="E28" s="69" t="s">
        <v>1181</v>
      </c>
      <c r="F28" s="69" t="s">
        <v>1182</v>
      </c>
      <c r="G28" s="69" t="s">
        <v>1209</v>
      </c>
      <c r="H28" s="69" t="s">
        <v>1210</v>
      </c>
      <c r="I28" s="68"/>
      <c r="J28" s="68"/>
      <c r="K28" s="69" t="s">
        <v>1185</v>
      </c>
    </row>
    <row r="29" spans="1:11" ht="52">
      <c r="A29" s="68" t="s">
        <v>1211</v>
      </c>
      <c r="B29" s="69" t="s">
        <v>1178</v>
      </c>
      <c r="C29" s="69" t="s">
        <v>1179</v>
      </c>
      <c r="D29" s="69" t="s">
        <v>1212</v>
      </c>
      <c r="E29" s="69" t="s">
        <v>1181</v>
      </c>
      <c r="F29" s="69" t="s">
        <v>1182</v>
      </c>
      <c r="G29" s="69" t="s">
        <v>1213</v>
      </c>
      <c r="H29" s="69" t="s">
        <v>1214</v>
      </c>
      <c r="I29" s="68"/>
      <c r="J29" s="68"/>
      <c r="K29" s="69" t="s">
        <v>1198</v>
      </c>
    </row>
    <row r="30" spans="1:11" ht="52">
      <c r="A30" s="68" t="s">
        <v>1215</v>
      </c>
      <c r="B30" s="69" t="s">
        <v>1178</v>
      </c>
      <c r="C30" s="69" t="s">
        <v>1179</v>
      </c>
      <c r="D30" s="69" t="s">
        <v>1216</v>
      </c>
      <c r="E30" s="69" t="s">
        <v>1181</v>
      </c>
      <c r="F30" s="69" t="s">
        <v>1182</v>
      </c>
      <c r="G30" s="69" t="s">
        <v>1217</v>
      </c>
      <c r="H30" s="69" t="s">
        <v>1218</v>
      </c>
      <c r="I30" s="68"/>
      <c r="J30" s="68"/>
      <c r="K30" s="69" t="s">
        <v>1198</v>
      </c>
    </row>
    <row r="31" spans="1:11" ht="52">
      <c r="A31" s="68" t="s">
        <v>1219</v>
      </c>
      <c r="B31" s="69" t="s">
        <v>1178</v>
      </c>
      <c r="C31" s="69" t="s">
        <v>1179</v>
      </c>
      <c r="D31" s="69" t="s">
        <v>1220</v>
      </c>
      <c r="E31" s="69" t="s">
        <v>1181</v>
      </c>
      <c r="F31" s="69" t="s">
        <v>1182</v>
      </c>
      <c r="G31" s="69" t="s">
        <v>1221</v>
      </c>
      <c r="H31" s="69" t="s">
        <v>1222</v>
      </c>
      <c r="I31" s="68"/>
      <c r="J31" s="68"/>
      <c r="K31" s="69" t="s">
        <v>1185</v>
      </c>
    </row>
    <row r="32" spans="1:11" ht="52">
      <c r="A32" s="68" t="s">
        <v>1223</v>
      </c>
      <c r="B32" s="69" t="s">
        <v>1178</v>
      </c>
      <c r="C32" s="69" t="s">
        <v>1179</v>
      </c>
      <c r="D32" s="69" t="s">
        <v>1224</v>
      </c>
      <c r="E32" s="69" t="s">
        <v>1181</v>
      </c>
      <c r="F32" s="69" t="s">
        <v>1182</v>
      </c>
      <c r="G32" s="69" t="s">
        <v>1225</v>
      </c>
      <c r="H32" s="69" t="s">
        <v>1226</v>
      </c>
      <c r="I32" s="68"/>
      <c r="J32" s="68"/>
      <c r="K32" s="69" t="s">
        <v>1198</v>
      </c>
    </row>
    <row r="33" spans="1:11" ht="52">
      <c r="A33" s="68" t="s">
        <v>1227</v>
      </c>
      <c r="B33" s="69" t="s">
        <v>1178</v>
      </c>
      <c r="C33" s="69" t="s">
        <v>1179</v>
      </c>
      <c r="D33" s="69" t="s">
        <v>1228</v>
      </c>
      <c r="E33" s="69" t="s">
        <v>1181</v>
      </c>
      <c r="F33" s="69" t="s">
        <v>1182</v>
      </c>
      <c r="G33" s="69" t="s">
        <v>1229</v>
      </c>
      <c r="H33" s="69" t="s">
        <v>1230</v>
      </c>
      <c r="I33" s="68"/>
      <c r="J33" s="68"/>
      <c r="K33" s="69" t="s">
        <v>1198</v>
      </c>
    </row>
    <row r="34" spans="1:11" ht="52">
      <c r="A34" s="68" t="s">
        <v>1231</v>
      </c>
      <c r="B34" s="69" t="s">
        <v>1178</v>
      </c>
      <c r="C34" s="69" t="s">
        <v>1179</v>
      </c>
      <c r="D34" s="69" t="s">
        <v>1232</v>
      </c>
      <c r="E34" s="69" t="s">
        <v>1181</v>
      </c>
      <c r="F34" s="69" t="s">
        <v>1182</v>
      </c>
      <c r="G34" s="69" t="s">
        <v>1233</v>
      </c>
      <c r="H34" s="69" t="s">
        <v>1234</v>
      </c>
      <c r="I34" s="68"/>
      <c r="J34" s="68"/>
      <c r="K34" s="69" t="s">
        <v>1235</v>
      </c>
    </row>
    <row r="35" spans="1:11" ht="52">
      <c r="A35" s="68" t="s">
        <v>1236</v>
      </c>
      <c r="B35" s="69" t="s">
        <v>1178</v>
      </c>
      <c r="C35" s="69" t="s">
        <v>1179</v>
      </c>
      <c r="D35" s="69" t="s">
        <v>1237</v>
      </c>
      <c r="E35" s="69" t="s">
        <v>1181</v>
      </c>
      <c r="F35" s="69" t="s">
        <v>1182</v>
      </c>
      <c r="G35" s="69" t="s">
        <v>1238</v>
      </c>
      <c r="H35" s="69" t="s">
        <v>1239</v>
      </c>
      <c r="I35" s="68"/>
      <c r="J35" s="68"/>
      <c r="K35" s="69" t="s">
        <v>1235</v>
      </c>
    </row>
    <row r="36" spans="1:11" ht="52">
      <c r="A36" s="68" t="s">
        <v>1240</v>
      </c>
      <c r="B36" s="69" t="s">
        <v>1178</v>
      </c>
      <c r="C36" s="69" t="s">
        <v>1179</v>
      </c>
      <c r="D36" s="69" t="s">
        <v>1241</v>
      </c>
      <c r="E36" s="69" t="s">
        <v>1181</v>
      </c>
      <c r="F36" s="69" t="s">
        <v>1182</v>
      </c>
      <c r="G36" s="69" t="s">
        <v>1242</v>
      </c>
      <c r="H36" s="69" t="s">
        <v>1243</v>
      </c>
      <c r="I36" s="68"/>
      <c r="J36" s="68"/>
      <c r="K36" s="69" t="s">
        <v>1185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36" xr:uid="{00000000-0002-0000-0B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2"/>
  <sheetViews>
    <sheetView topLeftCell="A44" workbookViewId="0">
      <selection activeCell="C49" sqref="C49"/>
    </sheetView>
  </sheetViews>
  <sheetFormatPr defaultRowHeight="12.5"/>
  <cols>
    <col min="1" max="1" width="14" customWidth="1"/>
    <col min="2" max="2" width="29.6328125" customWidth="1"/>
    <col min="3" max="3" width="22.7265625" customWidth="1"/>
    <col min="4" max="4" width="38" customWidth="1"/>
    <col min="5" max="5" width="34" customWidth="1"/>
    <col min="6" max="6" width="44" customWidth="1"/>
    <col min="7" max="7" width="30" customWidth="1"/>
    <col min="8" max="8" width="42" customWidth="1"/>
    <col min="9" max="10" width="17.36328125" customWidth="1"/>
    <col min="11" max="11" width="31" customWidth="1"/>
  </cols>
  <sheetData>
    <row r="1" spans="1:11" ht="28.5" customHeight="1">
      <c r="A1" s="41" t="s">
        <v>20</v>
      </c>
      <c r="B1" s="41"/>
      <c r="C1" s="41"/>
      <c r="D1" s="41"/>
      <c r="E1" s="41"/>
      <c r="F1" s="42"/>
      <c r="G1" s="42"/>
      <c r="H1" s="42"/>
      <c r="I1" s="42"/>
      <c r="J1" s="42"/>
      <c r="K1" s="42"/>
    </row>
    <row r="2" spans="1:11" ht="14.5">
      <c r="A2" s="43" t="s">
        <v>21</v>
      </c>
      <c r="B2" s="43"/>
      <c r="C2" s="44" t="s">
        <v>1354</v>
      </c>
      <c r="D2" s="44"/>
      <c r="E2" s="44"/>
      <c r="F2" s="42"/>
      <c r="G2" s="42"/>
      <c r="H2" s="42"/>
      <c r="I2" s="42"/>
      <c r="J2" s="42"/>
      <c r="K2" s="42"/>
    </row>
    <row r="3" spans="1:11" ht="14.5">
      <c r="A3" s="43" t="s">
        <v>23</v>
      </c>
      <c r="B3" s="43"/>
      <c r="C3" s="38" t="s">
        <v>1355</v>
      </c>
      <c r="D3" s="38"/>
      <c r="E3" s="38"/>
      <c r="F3" s="42"/>
      <c r="G3" s="42"/>
      <c r="H3" s="42"/>
      <c r="I3" s="42"/>
      <c r="J3" s="42"/>
      <c r="K3" s="42"/>
    </row>
    <row r="4" spans="1:11" ht="14.5">
      <c r="A4" s="43" t="s">
        <v>25</v>
      </c>
      <c r="B4" s="43"/>
      <c r="C4" s="38"/>
      <c r="D4" s="38"/>
      <c r="E4" s="38"/>
      <c r="F4" s="42"/>
      <c r="G4" s="42"/>
      <c r="H4" s="42"/>
      <c r="I4" s="42"/>
      <c r="J4" s="42"/>
      <c r="K4" s="42"/>
    </row>
    <row r="5" spans="1:11" ht="15" customHeight="1">
      <c r="A5" s="24" t="s">
        <v>26</v>
      </c>
      <c r="B5" s="25" t="s">
        <v>27</v>
      </c>
      <c r="C5" s="26" t="s">
        <v>28</v>
      </c>
      <c r="D5" s="27" t="s">
        <v>5</v>
      </c>
      <c r="E5" s="28" t="s">
        <v>29</v>
      </c>
      <c r="F5" s="42"/>
      <c r="G5" s="42"/>
      <c r="H5" s="42"/>
      <c r="I5" s="42"/>
      <c r="J5" s="42"/>
      <c r="K5" s="42"/>
    </row>
    <row r="6" spans="1:11" ht="15" customHeight="1">
      <c r="A6" s="29">
        <f>COUNTIF(I10:I19,"Passed")</f>
        <v>0</v>
      </c>
      <c r="B6" s="30">
        <f>COUNTIF(I10:I19,"Failed")</f>
        <v>0</v>
      </c>
      <c r="C6" s="30">
        <f>COUNTIF(I10:I19,"N/A")</f>
        <v>0</v>
      </c>
      <c r="D6" s="30">
        <f>E6-C6-A6-B6</f>
        <v>10</v>
      </c>
      <c r="E6" s="31">
        <f>COUNTA(A10:A19)</f>
        <v>10</v>
      </c>
      <c r="F6" s="42"/>
      <c r="G6" s="42"/>
      <c r="H6" s="42"/>
      <c r="I6" s="42"/>
      <c r="J6" s="42"/>
      <c r="K6" s="42"/>
    </row>
    <row r="7" spans="1:11" ht="15" customHeight="1">
      <c r="A7" s="32">
        <f>COUNTIF(J10:J19,"Passed")</f>
        <v>0</v>
      </c>
      <c r="B7" s="33">
        <f>COUNTIF(J10:J19,"Failed")</f>
        <v>0</v>
      </c>
      <c r="C7" s="33">
        <f>COUNTIF(J10:J19,"N/A")</f>
        <v>0</v>
      </c>
      <c r="D7" s="33">
        <f>E7-C7-A7-B7</f>
        <v>10</v>
      </c>
      <c r="E7" s="34">
        <f>COUNTA(A10:A19)</f>
        <v>10</v>
      </c>
      <c r="F7" s="42"/>
      <c r="G7" s="42"/>
      <c r="H7" s="42"/>
      <c r="I7" s="42"/>
      <c r="J7" s="42"/>
      <c r="K7" s="42"/>
    </row>
    <row r="8" spans="1:11" ht="10.5" customHeight="1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5" customHeight="1">
      <c r="A9" s="35" t="s">
        <v>30</v>
      </c>
      <c r="B9" s="35" t="s">
        <v>31</v>
      </c>
      <c r="C9" s="35" t="s">
        <v>32</v>
      </c>
      <c r="D9" s="35" t="s">
        <v>33</v>
      </c>
      <c r="E9" s="35" t="s">
        <v>34</v>
      </c>
      <c r="F9" s="35" t="s">
        <v>35</v>
      </c>
      <c r="G9" s="35" t="s">
        <v>36</v>
      </c>
      <c r="H9" s="35" t="s">
        <v>37</v>
      </c>
      <c r="I9" s="35" t="s">
        <v>38</v>
      </c>
      <c r="J9" s="35" t="s">
        <v>39</v>
      </c>
      <c r="K9" s="35" t="s">
        <v>40</v>
      </c>
    </row>
    <row r="10" spans="1:11" ht="52">
      <c r="A10" s="68" t="s">
        <v>1356</v>
      </c>
      <c r="B10" s="69" t="s">
        <v>1357</v>
      </c>
      <c r="C10" s="69" t="s">
        <v>1358</v>
      </c>
      <c r="D10" s="69" t="s">
        <v>1359</v>
      </c>
      <c r="E10" s="69" t="s">
        <v>1360</v>
      </c>
      <c r="F10" s="69" t="s">
        <v>1361</v>
      </c>
      <c r="G10" s="69" t="s">
        <v>1362</v>
      </c>
      <c r="H10" s="69" t="s">
        <v>1363</v>
      </c>
      <c r="I10" s="68"/>
      <c r="J10" s="68"/>
      <c r="K10" s="69" t="s">
        <v>1364</v>
      </c>
    </row>
    <row r="11" spans="1:11" ht="52">
      <c r="A11" s="68" t="s">
        <v>1365</v>
      </c>
      <c r="B11" s="69" t="s">
        <v>1357</v>
      </c>
      <c r="C11" s="69" t="s">
        <v>1358</v>
      </c>
      <c r="D11" s="69" t="s">
        <v>1366</v>
      </c>
      <c r="E11" s="69" t="s">
        <v>1360</v>
      </c>
      <c r="F11" s="69" t="s">
        <v>1361</v>
      </c>
      <c r="G11" s="69" t="s">
        <v>1367</v>
      </c>
      <c r="H11" s="69" t="s">
        <v>1328</v>
      </c>
      <c r="I11" s="68"/>
      <c r="J11" s="68"/>
      <c r="K11" s="69" t="s">
        <v>1364</v>
      </c>
    </row>
    <row r="12" spans="1:11" ht="52">
      <c r="A12" s="68" t="s">
        <v>1368</v>
      </c>
      <c r="B12" s="69" t="s">
        <v>1357</v>
      </c>
      <c r="C12" s="69" t="s">
        <v>1358</v>
      </c>
      <c r="D12" s="69" t="s">
        <v>1369</v>
      </c>
      <c r="E12" s="69" t="s">
        <v>1360</v>
      </c>
      <c r="F12" s="69" t="s">
        <v>1361</v>
      </c>
      <c r="G12" s="69" t="s">
        <v>1370</v>
      </c>
      <c r="H12" s="69" t="s">
        <v>1371</v>
      </c>
      <c r="I12" s="68"/>
      <c r="J12" s="68"/>
      <c r="K12" s="69" t="s">
        <v>1364</v>
      </c>
    </row>
    <row r="13" spans="1:11" ht="52">
      <c r="A13" s="68" t="s">
        <v>1372</v>
      </c>
      <c r="B13" s="69" t="s">
        <v>1357</v>
      </c>
      <c r="C13" s="69" t="s">
        <v>1358</v>
      </c>
      <c r="D13" s="69" t="s">
        <v>1373</v>
      </c>
      <c r="E13" s="69" t="s">
        <v>1360</v>
      </c>
      <c r="F13" s="69" t="s">
        <v>1361</v>
      </c>
      <c r="G13" s="69" t="s">
        <v>1374</v>
      </c>
      <c r="H13" s="69" t="s">
        <v>1375</v>
      </c>
      <c r="I13" s="68"/>
      <c r="J13" s="68"/>
      <c r="K13" s="69" t="s">
        <v>1376</v>
      </c>
    </row>
    <row r="14" spans="1:11" ht="52">
      <c r="A14" s="68" t="s">
        <v>1377</v>
      </c>
      <c r="B14" s="69" t="s">
        <v>1357</v>
      </c>
      <c r="C14" s="69" t="s">
        <v>1358</v>
      </c>
      <c r="D14" s="69" t="s">
        <v>1378</v>
      </c>
      <c r="E14" s="69" t="s">
        <v>1360</v>
      </c>
      <c r="F14" s="69" t="s">
        <v>1361</v>
      </c>
      <c r="G14" s="69" t="s">
        <v>1379</v>
      </c>
      <c r="H14" s="69" t="s">
        <v>1380</v>
      </c>
      <c r="I14" s="68"/>
      <c r="J14" s="68"/>
      <c r="K14" s="69" t="s">
        <v>1376</v>
      </c>
    </row>
    <row r="15" spans="1:11" ht="52">
      <c r="A15" s="68" t="s">
        <v>1381</v>
      </c>
      <c r="B15" s="69" t="s">
        <v>1357</v>
      </c>
      <c r="C15" s="69" t="s">
        <v>1358</v>
      </c>
      <c r="D15" s="69" t="s">
        <v>1382</v>
      </c>
      <c r="E15" s="69" t="s">
        <v>1360</v>
      </c>
      <c r="F15" s="69" t="s">
        <v>1361</v>
      </c>
      <c r="G15" s="69" t="s">
        <v>1383</v>
      </c>
      <c r="H15" s="69" t="s">
        <v>1384</v>
      </c>
      <c r="I15" s="68"/>
      <c r="J15" s="68"/>
      <c r="K15" s="69" t="s">
        <v>1376</v>
      </c>
    </row>
    <row r="16" spans="1:11" ht="52">
      <c r="A16" s="68" t="s">
        <v>1385</v>
      </c>
      <c r="B16" s="69" t="s">
        <v>1357</v>
      </c>
      <c r="C16" s="69" t="s">
        <v>1358</v>
      </c>
      <c r="D16" s="69" t="s">
        <v>1386</v>
      </c>
      <c r="E16" s="69" t="s">
        <v>1360</v>
      </c>
      <c r="F16" s="69" t="s">
        <v>1361</v>
      </c>
      <c r="G16" s="69" t="s">
        <v>1387</v>
      </c>
      <c r="H16" s="69" t="s">
        <v>1388</v>
      </c>
      <c r="I16" s="68"/>
      <c r="J16" s="68"/>
      <c r="K16" s="69" t="s">
        <v>1364</v>
      </c>
    </row>
    <row r="17" spans="1:11" ht="52">
      <c r="A17" s="68" t="s">
        <v>1389</v>
      </c>
      <c r="B17" s="69" t="s">
        <v>1357</v>
      </c>
      <c r="C17" s="69" t="s">
        <v>1358</v>
      </c>
      <c r="D17" s="69" t="s">
        <v>1390</v>
      </c>
      <c r="E17" s="69" t="s">
        <v>1360</v>
      </c>
      <c r="F17" s="69" t="s">
        <v>1361</v>
      </c>
      <c r="G17" s="69" t="s">
        <v>1391</v>
      </c>
      <c r="H17" s="69" t="s">
        <v>1392</v>
      </c>
      <c r="I17" s="68"/>
      <c r="J17" s="68"/>
      <c r="K17" s="69" t="s">
        <v>1376</v>
      </c>
    </row>
    <row r="18" spans="1:11" ht="52">
      <c r="A18" s="68" t="s">
        <v>1393</v>
      </c>
      <c r="B18" s="69" t="s">
        <v>1357</v>
      </c>
      <c r="C18" s="69" t="s">
        <v>1358</v>
      </c>
      <c r="D18" s="69" t="s">
        <v>1394</v>
      </c>
      <c r="E18" s="69" t="s">
        <v>1360</v>
      </c>
      <c r="F18" s="69" t="s">
        <v>1361</v>
      </c>
      <c r="G18" s="69" t="s">
        <v>1395</v>
      </c>
      <c r="H18" s="69" t="s">
        <v>1396</v>
      </c>
      <c r="I18" s="68"/>
      <c r="J18" s="68"/>
      <c r="K18" s="69" t="s">
        <v>1397</v>
      </c>
    </row>
    <row r="19" spans="1:11" ht="52">
      <c r="A19" s="68" t="s">
        <v>1398</v>
      </c>
      <c r="B19" s="69" t="s">
        <v>1357</v>
      </c>
      <c r="C19" s="69" t="s">
        <v>1358</v>
      </c>
      <c r="D19" s="69" t="s">
        <v>1399</v>
      </c>
      <c r="E19" s="69" t="s">
        <v>1360</v>
      </c>
      <c r="F19" s="69" t="s">
        <v>1361</v>
      </c>
      <c r="G19" s="69" t="s">
        <v>1400</v>
      </c>
      <c r="H19" s="69" t="s">
        <v>1401</v>
      </c>
      <c r="I19" s="68"/>
      <c r="J19" s="68"/>
      <c r="K19" s="69" t="s">
        <v>1376</v>
      </c>
    </row>
    <row r="20" spans="1:11" ht="52">
      <c r="A20" s="68" t="s">
        <v>1311</v>
      </c>
      <c r="B20" s="69" t="s">
        <v>1312</v>
      </c>
      <c r="C20" s="69" t="s">
        <v>1313</v>
      </c>
      <c r="D20" s="69" t="s">
        <v>1314</v>
      </c>
      <c r="E20" s="69" t="s">
        <v>1315</v>
      </c>
      <c r="F20" s="69" t="s">
        <v>1316</v>
      </c>
      <c r="G20" s="69" t="s">
        <v>1317</v>
      </c>
      <c r="H20" s="69" t="s">
        <v>1318</v>
      </c>
      <c r="I20" s="68"/>
      <c r="J20" s="68"/>
      <c r="K20" s="69" t="s">
        <v>1319</v>
      </c>
    </row>
    <row r="21" spans="1:11" ht="52">
      <c r="A21" s="68" t="s">
        <v>1320</v>
      </c>
      <c r="B21" s="69" t="s">
        <v>1312</v>
      </c>
      <c r="C21" s="69" t="s">
        <v>1313</v>
      </c>
      <c r="D21" s="69" t="s">
        <v>1321</v>
      </c>
      <c r="E21" s="69" t="s">
        <v>1315</v>
      </c>
      <c r="F21" s="69" t="s">
        <v>1316</v>
      </c>
      <c r="G21" s="69" t="s">
        <v>1322</v>
      </c>
      <c r="H21" s="69" t="s">
        <v>1323</v>
      </c>
      <c r="I21" s="68"/>
      <c r="J21" s="68"/>
      <c r="K21" s="69" t="s">
        <v>1324</v>
      </c>
    </row>
    <row r="22" spans="1:11" ht="52">
      <c r="A22" s="68" t="s">
        <v>1325</v>
      </c>
      <c r="B22" s="69" t="s">
        <v>1312</v>
      </c>
      <c r="C22" s="69" t="s">
        <v>1313</v>
      </c>
      <c r="D22" s="69" t="s">
        <v>1326</v>
      </c>
      <c r="E22" s="69" t="s">
        <v>1315</v>
      </c>
      <c r="F22" s="69" t="s">
        <v>1316</v>
      </c>
      <c r="G22" s="69" t="s">
        <v>1327</v>
      </c>
      <c r="H22" s="69" t="s">
        <v>1328</v>
      </c>
      <c r="I22" s="68"/>
      <c r="J22" s="68"/>
      <c r="K22" s="69" t="s">
        <v>1324</v>
      </c>
    </row>
    <row r="23" spans="1:11" ht="52">
      <c r="A23" s="68" t="s">
        <v>1329</v>
      </c>
      <c r="B23" s="69" t="s">
        <v>1312</v>
      </c>
      <c r="C23" s="69" t="s">
        <v>1313</v>
      </c>
      <c r="D23" s="69" t="s">
        <v>1330</v>
      </c>
      <c r="E23" s="69" t="s">
        <v>1315</v>
      </c>
      <c r="F23" s="69" t="s">
        <v>1316</v>
      </c>
      <c r="G23" s="69" t="s">
        <v>1331</v>
      </c>
      <c r="H23" s="69" t="s">
        <v>1332</v>
      </c>
      <c r="I23" s="68"/>
      <c r="J23" s="68"/>
      <c r="K23" s="69" t="s">
        <v>1324</v>
      </c>
    </row>
    <row r="24" spans="1:11" ht="52">
      <c r="A24" s="68" t="s">
        <v>1333</v>
      </c>
      <c r="B24" s="69" t="s">
        <v>1312</v>
      </c>
      <c r="C24" s="69" t="s">
        <v>1313</v>
      </c>
      <c r="D24" s="69" t="s">
        <v>1334</v>
      </c>
      <c r="E24" s="69" t="s">
        <v>1315</v>
      </c>
      <c r="F24" s="69" t="s">
        <v>1316</v>
      </c>
      <c r="G24" s="69" t="s">
        <v>1335</v>
      </c>
      <c r="H24" s="69" t="s">
        <v>1328</v>
      </c>
      <c r="I24" s="68"/>
      <c r="J24" s="68"/>
      <c r="K24" s="69" t="s">
        <v>1324</v>
      </c>
    </row>
    <row r="25" spans="1:11" ht="52">
      <c r="A25" s="68" t="s">
        <v>1336</v>
      </c>
      <c r="B25" s="69" t="s">
        <v>1312</v>
      </c>
      <c r="C25" s="69" t="s">
        <v>1313</v>
      </c>
      <c r="D25" s="69" t="s">
        <v>1337</v>
      </c>
      <c r="E25" s="69" t="s">
        <v>1315</v>
      </c>
      <c r="F25" s="69" t="s">
        <v>1316</v>
      </c>
      <c r="G25" s="69" t="s">
        <v>1338</v>
      </c>
      <c r="H25" s="69" t="s">
        <v>1328</v>
      </c>
      <c r="I25" s="68"/>
      <c r="J25" s="68"/>
      <c r="K25" s="69" t="s">
        <v>1324</v>
      </c>
    </row>
    <row r="26" spans="1:11" ht="52">
      <c r="A26" s="68" t="s">
        <v>1339</v>
      </c>
      <c r="B26" s="69" t="s">
        <v>1312</v>
      </c>
      <c r="C26" s="69" t="s">
        <v>1313</v>
      </c>
      <c r="D26" s="69" t="s">
        <v>1340</v>
      </c>
      <c r="E26" s="69" t="s">
        <v>1315</v>
      </c>
      <c r="F26" s="69" t="s">
        <v>1316</v>
      </c>
      <c r="G26" s="69" t="s">
        <v>1341</v>
      </c>
      <c r="H26" s="69" t="s">
        <v>1342</v>
      </c>
      <c r="I26" s="68"/>
      <c r="J26" s="68"/>
      <c r="K26" s="69" t="s">
        <v>1319</v>
      </c>
    </row>
    <row r="27" spans="1:11" ht="52">
      <c r="A27" s="68" t="s">
        <v>1343</v>
      </c>
      <c r="B27" s="69" t="s">
        <v>1312</v>
      </c>
      <c r="C27" s="69" t="s">
        <v>1313</v>
      </c>
      <c r="D27" s="69" t="s">
        <v>1344</v>
      </c>
      <c r="E27" s="69" t="s">
        <v>1315</v>
      </c>
      <c r="F27" s="69" t="s">
        <v>1316</v>
      </c>
      <c r="G27" s="69" t="s">
        <v>1345</v>
      </c>
      <c r="H27" s="69" t="s">
        <v>1346</v>
      </c>
      <c r="I27" s="68"/>
      <c r="J27" s="68"/>
      <c r="K27" s="69" t="s">
        <v>1324</v>
      </c>
    </row>
    <row r="28" spans="1:11" ht="52">
      <c r="A28" s="68" t="s">
        <v>1347</v>
      </c>
      <c r="B28" s="69" t="s">
        <v>1312</v>
      </c>
      <c r="C28" s="69" t="s">
        <v>1313</v>
      </c>
      <c r="D28" s="69" t="s">
        <v>1348</v>
      </c>
      <c r="E28" s="69" t="s">
        <v>1315</v>
      </c>
      <c r="F28" s="69" t="s">
        <v>1316</v>
      </c>
      <c r="G28" s="69" t="s">
        <v>1349</v>
      </c>
      <c r="H28" s="69" t="s">
        <v>1350</v>
      </c>
      <c r="I28" s="68"/>
      <c r="J28" s="68"/>
      <c r="K28" s="69" t="s">
        <v>1324</v>
      </c>
    </row>
    <row r="29" spans="1:11" ht="52">
      <c r="A29" s="68" t="s">
        <v>1351</v>
      </c>
      <c r="B29" s="69" t="s">
        <v>1312</v>
      </c>
      <c r="C29" s="69" t="s">
        <v>1313</v>
      </c>
      <c r="D29" s="69" t="s">
        <v>1352</v>
      </c>
      <c r="E29" s="69" t="s">
        <v>1315</v>
      </c>
      <c r="F29" s="69" t="s">
        <v>1316</v>
      </c>
      <c r="G29" s="69" t="s">
        <v>491</v>
      </c>
      <c r="H29" s="69" t="s">
        <v>1353</v>
      </c>
      <c r="I29" s="68"/>
      <c r="J29" s="68"/>
      <c r="K29" s="69" t="s">
        <v>1324</v>
      </c>
    </row>
    <row r="30" spans="1:11" ht="52">
      <c r="A30" s="68" t="s">
        <v>1402</v>
      </c>
      <c r="B30" s="69" t="s">
        <v>1403</v>
      </c>
      <c r="C30" s="69" t="s">
        <v>1404</v>
      </c>
      <c r="D30" s="69" t="s">
        <v>1405</v>
      </c>
      <c r="E30" s="69" t="s">
        <v>1406</v>
      </c>
      <c r="F30" s="69" t="s">
        <v>1407</v>
      </c>
      <c r="G30" s="69" t="s">
        <v>1408</v>
      </c>
      <c r="H30" s="69" t="s">
        <v>1409</v>
      </c>
      <c r="I30" s="68"/>
      <c r="J30" s="68"/>
      <c r="K30" s="69" t="s">
        <v>1410</v>
      </c>
    </row>
    <row r="31" spans="1:11" ht="52">
      <c r="A31" s="68" t="s">
        <v>1411</v>
      </c>
      <c r="B31" s="69" t="s">
        <v>1403</v>
      </c>
      <c r="C31" s="69" t="s">
        <v>1404</v>
      </c>
      <c r="D31" s="69" t="s">
        <v>1412</v>
      </c>
      <c r="E31" s="69" t="s">
        <v>1406</v>
      </c>
      <c r="F31" s="69" t="s">
        <v>1407</v>
      </c>
      <c r="G31" s="69" t="s">
        <v>1413</v>
      </c>
      <c r="H31" s="69" t="s">
        <v>1414</v>
      </c>
      <c r="I31" s="68"/>
      <c r="J31" s="68"/>
      <c r="K31" s="69" t="s">
        <v>1410</v>
      </c>
    </row>
    <row r="32" spans="1:11" ht="52">
      <c r="A32" s="68" t="s">
        <v>1415</v>
      </c>
      <c r="B32" s="69" t="s">
        <v>1403</v>
      </c>
      <c r="C32" s="69" t="s">
        <v>1404</v>
      </c>
      <c r="D32" s="69" t="s">
        <v>1416</v>
      </c>
      <c r="E32" s="69" t="s">
        <v>1406</v>
      </c>
      <c r="F32" s="69" t="s">
        <v>1407</v>
      </c>
      <c r="G32" s="69" t="s">
        <v>1417</v>
      </c>
      <c r="H32" s="69" t="s">
        <v>1418</v>
      </c>
      <c r="I32" s="68"/>
      <c r="J32" s="68"/>
      <c r="K32" s="69" t="s">
        <v>1419</v>
      </c>
    </row>
    <row r="33" spans="1:11" ht="52">
      <c r="A33" s="68" t="s">
        <v>1420</v>
      </c>
      <c r="B33" s="69" t="s">
        <v>1403</v>
      </c>
      <c r="C33" s="69" t="s">
        <v>1404</v>
      </c>
      <c r="D33" s="69" t="s">
        <v>1421</v>
      </c>
      <c r="E33" s="69" t="s">
        <v>1406</v>
      </c>
      <c r="F33" s="69" t="s">
        <v>1407</v>
      </c>
      <c r="G33" s="69" t="s">
        <v>1422</v>
      </c>
      <c r="H33" s="69" t="s">
        <v>1328</v>
      </c>
      <c r="I33" s="68"/>
      <c r="J33" s="68"/>
      <c r="K33" s="69" t="s">
        <v>1410</v>
      </c>
    </row>
    <row r="34" spans="1:11" ht="52">
      <c r="A34" s="68" t="s">
        <v>1423</v>
      </c>
      <c r="B34" s="69" t="s">
        <v>1403</v>
      </c>
      <c r="C34" s="69" t="s">
        <v>1404</v>
      </c>
      <c r="D34" s="69" t="s">
        <v>1424</v>
      </c>
      <c r="E34" s="69" t="s">
        <v>1406</v>
      </c>
      <c r="F34" s="69" t="s">
        <v>1407</v>
      </c>
      <c r="G34" s="69" t="s">
        <v>1425</v>
      </c>
      <c r="H34" s="69" t="s">
        <v>1426</v>
      </c>
      <c r="I34" s="68"/>
      <c r="J34" s="68"/>
      <c r="K34" s="69" t="s">
        <v>1419</v>
      </c>
    </row>
    <row r="35" spans="1:11" ht="52">
      <c r="A35" s="68" t="s">
        <v>1427</v>
      </c>
      <c r="B35" s="69" t="s">
        <v>1403</v>
      </c>
      <c r="C35" s="69" t="s">
        <v>1404</v>
      </c>
      <c r="D35" s="69" t="s">
        <v>1428</v>
      </c>
      <c r="E35" s="69" t="s">
        <v>1406</v>
      </c>
      <c r="F35" s="69" t="s">
        <v>1407</v>
      </c>
      <c r="G35" s="69" t="s">
        <v>1429</v>
      </c>
      <c r="H35" s="69" t="s">
        <v>1328</v>
      </c>
      <c r="I35" s="68"/>
      <c r="J35" s="68"/>
      <c r="K35" s="69" t="s">
        <v>1410</v>
      </c>
    </row>
    <row r="36" spans="1:11" ht="52">
      <c r="A36" s="68" t="s">
        <v>1430</v>
      </c>
      <c r="B36" s="69" t="s">
        <v>1403</v>
      </c>
      <c r="C36" s="69" t="s">
        <v>1404</v>
      </c>
      <c r="D36" s="69" t="s">
        <v>1431</v>
      </c>
      <c r="E36" s="69" t="s">
        <v>1406</v>
      </c>
      <c r="F36" s="69" t="s">
        <v>1407</v>
      </c>
      <c r="G36" s="69" t="s">
        <v>1432</v>
      </c>
      <c r="H36" s="69" t="s">
        <v>1328</v>
      </c>
      <c r="I36" s="68"/>
      <c r="J36" s="68"/>
      <c r="K36" s="69" t="s">
        <v>1410</v>
      </c>
    </row>
    <row r="37" spans="1:11" ht="52">
      <c r="A37" s="68" t="s">
        <v>1433</v>
      </c>
      <c r="B37" s="69" t="s">
        <v>1403</v>
      </c>
      <c r="C37" s="69" t="s">
        <v>1404</v>
      </c>
      <c r="D37" s="69" t="s">
        <v>1434</v>
      </c>
      <c r="E37" s="69" t="s">
        <v>1406</v>
      </c>
      <c r="F37" s="69" t="s">
        <v>1407</v>
      </c>
      <c r="G37" s="69" t="s">
        <v>1435</v>
      </c>
      <c r="H37" s="69" t="s">
        <v>1328</v>
      </c>
      <c r="I37" s="68"/>
      <c r="J37" s="68"/>
      <c r="K37" s="69" t="s">
        <v>1410</v>
      </c>
    </row>
    <row r="38" spans="1:11" ht="52">
      <c r="A38" s="68" t="s">
        <v>1436</v>
      </c>
      <c r="B38" s="69" t="s">
        <v>1403</v>
      </c>
      <c r="C38" s="69" t="s">
        <v>1404</v>
      </c>
      <c r="D38" s="69" t="s">
        <v>1437</v>
      </c>
      <c r="E38" s="69" t="s">
        <v>1406</v>
      </c>
      <c r="F38" s="69" t="s">
        <v>1407</v>
      </c>
      <c r="G38" s="69" t="s">
        <v>1438</v>
      </c>
      <c r="H38" s="69" t="s">
        <v>1328</v>
      </c>
      <c r="I38" s="68"/>
      <c r="J38" s="68"/>
      <c r="K38" s="69" t="s">
        <v>1410</v>
      </c>
    </row>
    <row r="39" spans="1:11" ht="52">
      <c r="A39" s="68" t="s">
        <v>1439</v>
      </c>
      <c r="B39" s="69" t="s">
        <v>1403</v>
      </c>
      <c r="C39" s="69" t="s">
        <v>1404</v>
      </c>
      <c r="D39" s="69" t="s">
        <v>1440</v>
      </c>
      <c r="E39" s="69" t="s">
        <v>1406</v>
      </c>
      <c r="F39" s="69" t="s">
        <v>1407</v>
      </c>
      <c r="G39" s="69" t="s">
        <v>1441</v>
      </c>
      <c r="H39" s="69" t="s">
        <v>1442</v>
      </c>
      <c r="I39" s="68"/>
      <c r="J39" s="68"/>
      <c r="K39" s="69" t="s">
        <v>1410</v>
      </c>
    </row>
    <row r="40" spans="1:11" ht="52">
      <c r="A40" s="68" t="s">
        <v>1443</v>
      </c>
      <c r="B40" s="69" t="s">
        <v>1403</v>
      </c>
      <c r="C40" s="69" t="s">
        <v>1404</v>
      </c>
      <c r="D40" s="69" t="s">
        <v>1444</v>
      </c>
      <c r="E40" s="69" t="s">
        <v>1406</v>
      </c>
      <c r="F40" s="69" t="s">
        <v>1407</v>
      </c>
      <c r="G40" s="69" t="s">
        <v>1445</v>
      </c>
      <c r="H40" s="69" t="s">
        <v>1446</v>
      </c>
      <c r="I40" s="68"/>
      <c r="J40" s="68"/>
      <c r="K40" s="69" t="s">
        <v>1419</v>
      </c>
    </row>
    <row r="41" spans="1:11" ht="52">
      <c r="A41" s="68" t="s">
        <v>1447</v>
      </c>
      <c r="B41" s="69" t="s">
        <v>1403</v>
      </c>
      <c r="C41" s="69" t="s">
        <v>1404</v>
      </c>
      <c r="D41" s="69" t="s">
        <v>1448</v>
      </c>
      <c r="E41" s="69" t="s">
        <v>1406</v>
      </c>
      <c r="F41" s="69" t="s">
        <v>1407</v>
      </c>
      <c r="G41" s="69" t="s">
        <v>1449</v>
      </c>
      <c r="H41" s="69" t="s">
        <v>1450</v>
      </c>
      <c r="I41" s="68"/>
      <c r="J41" s="68"/>
      <c r="K41" s="69" t="s">
        <v>1410</v>
      </c>
    </row>
    <row r="42" spans="1:11" ht="52">
      <c r="A42" s="68" t="s">
        <v>1451</v>
      </c>
      <c r="B42" s="69" t="s">
        <v>1403</v>
      </c>
      <c r="C42" s="69" t="s">
        <v>1404</v>
      </c>
      <c r="D42" s="69" t="s">
        <v>1452</v>
      </c>
      <c r="E42" s="69" t="s">
        <v>1406</v>
      </c>
      <c r="F42" s="69" t="s">
        <v>1407</v>
      </c>
      <c r="G42" s="69" t="s">
        <v>1453</v>
      </c>
      <c r="H42" s="69" t="s">
        <v>1454</v>
      </c>
      <c r="I42" s="68"/>
      <c r="J42" s="68"/>
      <c r="K42" s="69" t="s">
        <v>1419</v>
      </c>
    </row>
    <row r="43" spans="1:11" ht="52">
      <c r="A43" s="68" t="s">
        <v>1455</v>
      </c>
      <c r="B43" s="69" t="s">
        <v>1403</v>
      </c>
      <c r="C43" s="69" t="s">
        <v>1404</v>
      </c>
      <c r="D43" s="69" t="s">
        <v>1456</v>
      </c>
      <c r="E43" s="69" t="s">
        <v>1406</v>
      </c>
      <c r="F43" s="69" t="s">
        <v>1407</v>
      </c>
      <c r="G43" s="69" t="s">
        <v>1457</v>
      </c>
      <c r="H43" s="69" t="s">
        <v>1458</v>
      </c>
      <c r="I43" s="68"/>
      <c r="J43" s="68"/>
      <c r="K43" s="69" t="s">
        <v>1419</v>
      </c>
    </row>
    <row r="44" spans="1:11" ht="52">
      <c r="A44" s="68" t="s">
        <v>1459</v>
      </c>
      <c r="B44" s="69" t="s">
        <v>1403</v>
      </c>
      <c r="C44" s="69" t="s">
        <v>1404</v>
      </c>
      <c r="D44" s="69" t="s">
        <v>1460</v>
      </c>
      <c r="E44" s="69" t="s">
        <v>1406</v>
      </c>
      <c r="F44" s="69" t="s">
        <v>1407</v>
      </c>
      <c r="G44" s="69" t="s">
        <v>1461</v>
      </c>
      <c r="H44" s="69" t="s">
        <v>1462</v>
      </c>
      <c r="I44" s="68"/>
      <c r="J44" s="68"/>
      <c r="K44" s="69" t="s">
        <v>1410</v>
      </c>
    </row>
    <row r="45" spans="1:11" ht="52">
      <c r="A45" s="68" t="s">
        <v>1463</v>
      </c>
      <c r="B45" s="69" t="s">
        <v>1403</v>
      </c>
      <c r="C45" s="69" t="s">
        <v>1404</v>
      </c>
      <c r="D45" s="69" t="s">
        <v>1464</v>
      </c>
      <c r="E45" s="69" t="s">
        <v>1406</v>
      </c>
      <c r="F45" s="69" t="s">
        <v>1407</v>
      </c>
      <c r="G45" s="69" t="s">
        <v>1465</v>
      </c>
      <c r="H45" s="69" t="s">
        <v>1466</v>
      </c>
      <c r="I45" s="68"/>
      <c r="J45" s="68"/>
      <c r="K45" s="69" t="s">
        <v>1419</v>
      </c>
    </row>
    <row r="46" spans="1:11" ht="52">
      <c r="A46" s="68" t="s">
        <v>1467</v>
      </c>
      <c r="B46" s="69" t="s">
        <v>1403</v>
      </c>
      <c r="C46" s="69" t="s">
        <v>1404</v>
      </c>
      <c r="D46" s="69" t="s">
        <v>1468</v>
      </c>
      <c r="E46" s="69" t="s">
        <v>1406</v>
      </c>
      <c r="F46" s="69" t="s">
        <v>1407</v>
      </c>
      <c r="G46" s="69" t="s">
        <v>1469</v>
      </c>
      <c r="H46" s="69" t="s">
        <v>1470</v>
      </c>
      <c r="I46" s="68"/>
      <c r="J46" s="68"/>
      <c r="K46" s="69" t="s">
        <v>1410</v>
      </c>
    </row>
    <row r="47" spans="1:11" ht="52">
      <c r="A47" s="68" t="s">
        <v>1471</v>
      </c>
      <c r="B47" s="69" t="s">
        <v>1403</v>
      </c>
      <c r="C47" s="69" t="s">
        <v>1404</v>
      </c>
      <c r="D47" s="69" t="s">
        <v>1472</v>
      </c>
      <c r="E47" s="69" t="s">
        <v>1406</v>
      </c>
      <c r="F47" s="69" t="s">
        <v>1407</v>
      </c>
      <c r="G47" s="69" t="s">
        <v>1473</v>
      </c>
      <c r="H47" s="69" t="s">
        <v>1474</v>
      </c>
      <c r="I47" s="68"/>
      <c r="J47" s="68"/>
      <c r="K47" s="69" t="s">
        <v>1475</v>
      </c>
    </row>
    <row r="48" spans="1:11" ht="65">
      <c r="A48" s="68" t="s">
        <v>1476</v>
      </c>
      <c r="B48" s="69" t="s">
        <v>1477</v>
      </c>
      <c r="C48" s="69" t="s">
        <v>1478</v>
      </c>
      <c r="D48" s="69" t="s">
        <v>1479</v>
      </c>
      <c r="E48" s="69" t="s">
        <v>1480</v>
      </c>
      <c r="F48" s="69" t="s">
        <v>1481</v>
      </c>
      <c r="G48" s="69" t="s">
        <v>1482</v>
      </c>
      <c r="H48" s="69" t="s">
        <v>1483</v>
      </c>
      <c r="I48" s="68"/>
      <c r="J48" s="68"/>
      <c r="K48" s="69" t="s">
        <v>1484</v>
      </c>
    </row>
    <row r="49" spans="1:11" ht="65">
      <c r="A49" s="68" t="s">
        <v>1485</v>
      </c>
      <c r="B49" s="69" t="s">
        <v>1477</v>
      </c>
      <c r="C49" s="69" t="s">
        <v>1478</v>
      </c>
      <c r="D49" s="69" t="s">
        <v>1486</v>
      </c>
      <c r="E49" s="69" t="s">
        <v>1480</v>
      </c>
      <c r="F49" s="69" t="s">
        <v>1481</v>
      </c>
      <c r="G49" s="69" t="s">
        <v>1487</v>
      </c>
      <c r="H49" s="69" t="s">
        <v>1488</v>
      </c>
      <c r="I49" s="68"/>
      <c r="J49" s="68"/>
      <c r="K49" s="69" t="s">
        <v>1484</v>
      </c>
    </row>
    <row r="50" spans="1:11" ht="65">
      <c r="A50" s="68" t="s">
        <v>1489</v>
      </c>
      <c r="B50" s="69" t="s">
        <v>1477</v>
      </c>
      <c r="C50" s="69" t="s">
        <v>1478</v>
      </c>
      <c r="D50" s="69" t="s">
        <v>1490</v>
      </c>
      <c r="E50" s="69" t="s">
        <v>1480</v>
      </c>
      <c r="F50" s="69" t="s">
        <v>1481</v>
      </c>
      <c r="G50" s="69" t="s">
        <v>1491</v>
      </c>
      <c r="H50" s="69" t="s">
        <v>1328</v>
      </c>
      <c r="I50" s="68"/>
      <c r="J50" s="68"/>
      <c r="K50" s="69" t="s">
        <v>1484</v>
      </c>
    </row>
    <row r="51" spans="1:11" ht="65">
      <c r="A51" s="68" t="s">
        <v>1492</v>
      </c>
      <c r="B51" s="69" t="s">
        <v>1477</v>
      </c>
      <c r="C51" s="69" t="s">
        <v>1478</v>
      </c>
      <c r="D51" s="69" t="s">
        <v>1493</v>
      </c>
      <c r="E51" s="69" t="s">
        <v>1480</v>
      </c>
      <c r="F51" s="69" t="s">
        <v>1481</v>
      </c>
      <c r="G51" s="69" t="s">
        <v>1494</v>
      </c>
      <c r="H51" s="69" t="s">
        <v>1495</v>
      </c>
      <c r="I51" s="68"/>
      <c r="J51" s="68"/>
      <c r="K51" s="69" t="s">
        <v>1484</v>
      </c>
    </row>
    <row r="52" spans="1:11" ht="65">
      <c r="A52" s="68" t="s">
        <v>1496</v>
      </c>
      <c r="B52" s="69" t="s">
        <v>1477</v>
      </c>
      <c r="C52" s="69" t="s">
        <v>1478</v>
      </c>
      <c r="D52" s="69" t="s">
        <v>1497</v>
      </c>
      <c r="E52" s="69" t="s">
        <v>1480</v>
      </c>
      <c r="F52" s="69" t="s">
        <v>1481</v>
      </c>
      <c r="G52" s="69" t="s">
        <v>1498</v>
      </c>
      <c r="H52" s="69" t="s">
        <v>1328</v>
      </c>
      <c r="I52" s="68"/>
      <c r="J52" s="68"/>
      <c r="K52" s="69" t="s">
        <v>1484</v>
      </c>
    </row>
    <row r="53" spans="1:11" ht="65">
      <c r="A53" s="68" t="s">
        <v>1499</v>
      </c>
      <c r="B53" s="69" t="s">
        <v>1477</v>
      </c>
      <c r="C53" s="69" t="s">
        <v>1478</v>
      </c>
      <c r="D53" s="69" t="s">
        <v>1500</v>
      </c>
      <c r="E53" s="69" t="s">
        <v>1480</v>
      </c>
      <c r="F53" s="69" t="s">
        <v>1481</v>
      </c>
      <c r="G53" s="69" t="s">
        <v>1501</v>
      </c>
      <c r="H53" s="69" t="s">
        <v>1328</v>
      </c>
      <c r="I53" s="68"/>
      <c r="J53" s="68"/>
      <c r="K53" s="69" t="s">
        <v>1484</v>
      </c>
    </row>
    <row r="54" spans="1:11" ht="65">
      <c r="A54" s="68" t="s">
        <v>1502</v>
      </c>
      <c r="B54" s="69" t="s">
        <v>1477</v>
      </c>
      <c r="C54" s="69" t="s">
        <v>1478</v>
      </c>
      <c r="D54" s="69" t="s">
        <v>1503</v>
      </c>
      <c r="E54" s="69" t="s">
        <v>1480</v>
      </c>
      <c r="F54" s="69" t="s">
        <v>1481</v>
      </c>
      <c r="G54" s="69" t="s">
        <v>1504</v>
      </c>
      <c r="H54" s="69" t="s">
        <v>1328</v>
      </c>
      <c r="I54" s="68"/>
      <c r="J54" s="68"/>
      <c r="K54" s="69" t="s">
        <v>1484</v>
      </c>
    </row>
    <row r="55" spans="1:11" ht="65">
      <c r="A55" s="68" t="s">
        <v>1505</v>
      </c>
      <c r="B55" s="69" t="s">
        <v>1477</v>
      </c>
      <c r="C55" s="69" t="s">
        <v>1478</v>
      </c>
      <c r="D55" s="69" t="s">
        <v>1506</v>
      </c>
      <c r="E55" s="69" t="s">
        <v>1480</v>
      </c>
      <c r="F55" s="69" t="s">
        <v>1481</v>
      </c>
      <c r="G55" s="69" t="s">
        <v>1507</v>
      </c>
      <c r="H55" s="69" t="s">
        <v>1508</v>
      </c>
      <c r="I55" s="68"/>
      <c r="J55" s="68"/>
      <c r="K55" s="69" t="s">
        <v>1509</v>
      </c>
    </row>
    <row r="56" spans="1:11" ht="65">
      <c r="A56" s="68" t="s">
        <v>1510</v>
      </c>
      <c r="B56" s="69" t="s">
        <v>1477</v>
      </c>
      <c r="C56" s="69" t="s">
        <v>1478</v>
      </c>
      <c r="D56" s="69" t="s">
        <v>1511</v>
      </c>
      <c r="E56" s="69" t="s">
        <v>1480</v>
      </c>
      <c r="F56" s="69" t="s">
        <v>1481</v>
      </c>
      <c r="G56" s="69" t="s">
        <v>1512</v>
      </c>
      <c r="H56" s="69" t="s">
        <v>1513</v>
      </c>
      <c r="I56" s="68"/>
      <c r="J56" s="68"/>
      <c r="K56" s="69" t="s">
        <v>1484</v>
      </c>
    </row>
    <row r="57" spans="1:11" ht="65">
      <c r="A57" s="68" t="s">
        <v>1514</v>
      </c>
      <c r="B57" s="69" t="s">
        <v>1477</v>
      </c>
      <c r="C57" s="69" t="s">
        <v>1478</v>
      </c>
      <c r="D57" s="69" t="s">
        <v>1515</v>
      </c>
      <c r="E57" s="69" t="s">
        <v>1480</v>
      </c>
      <c r="F57" s="69" t="s">
        <v>1481</v>
      </c>
      <c r="G57" s="69" t="s">
        <v>1512</v>
      </c>
      <c r="H57" s="69" t="s">
        <v>1516</v>
      </c>
      <c r="I57" s="68"/>
      <c r="J57" s="68"/>
      <c r="K57" s="69" t="s">
        <v>1484</v>
      </c>
    </row>
    <row r="58" spans="1:11" ht="65">
      <c r="A58" s="68" t="s">
        <v>1517</v>
      </c>
      <c r="B58" s="69" t="s">
        <v>1477</v>
      </c>
      <c r="C58" s="69" t="s">
        <v>1478</v>
      </c>
      <c r="D58" s="69" t="s">
        <v>1518</v>
      </c>
      <c r="E58" s="69" t="s">
        <v>1480</v>
      </c>
      <c r="F58" s="69" t="s">
        <v>1481</v>
      </c>
      <c r="G58" s="69" t="s">
        <v>1519</v>
      </c>
      <c r="H58" s="69" t="s">
        <v>1520</v>
      </c>
      <c r="I58" s="68"/>
      <c r="J58" s="68"/>
      <c r="K58" s="69" t="s">
        <v>1484</v>
      </c>
    </row>
    <row r="59" spans="1:11" ht="65">
      <c r="A59" s="68" t="s">
        <v>1521</v>
      </c>
      <c r="B59" s="69" t="s">
        <v>1477</v>
      </c>
      <c r="C59" s="69" t="s">
        <v>1478</v>
      </c>
      <c r="D59" s="69" t="s">
        <v>1522</v>
      </c>
      <c r="E59" s="69" t="s">
        <v>1480</v>
      </c>
      <c r="F59" s="69" t="s">
        <v>1481</v>
      </c>
      <c r="G59" s="69" t="s">
        <v>1523</v>
      </c>
      <c r="H59" s="69" t="s">
        <v>1524</v>
      </c>
      <c r="I59" s="68"/>
      <c r="J59" s="68"/>
      <c r="K59" s="69" t="s">
        <v>1484</v>
      </c>
    </row>
    <row r="60" spans="1:11" ht="65">
      <c r="A60" s="68" t="s">
        <v>1525</v>
      </c>
      <c r="B60" s="69" t="s">
        <v>1477</v>
      </c>
      <c r="C60" s="69" t="s">
        <v>1478</v>
      </c>
      <c r="D60" s="69" t="s">
        <v>1526</v>
      </c>
      <c r="E60" s="69" t="s">
        <v>1480</v>
      </c>
      <c r="F60" s="69" t="s">
        <v>1481</v>
      </c>
      <c r="G60" s="69" t="s">
        <v>1527</v>
      </c>
      <c r="H60" s="69" t="s">
        <v>1528</v>
      </c>
      <c r="I60" s="68"/>
      <c r="J60" s="68"/>
      <c r="K60" s="69" t="s">
        <v>1484</v>
      </c>
    </row>
    <row r="61" spans="1:11" ht="65">
      <c r="A61" s="68" t="s">
        <v>1529</v>
      </c>
      <c r="B61" s="69" t="s">
        <v>1477</v>
      </c>
      <c r="C61" s="69" t="s">
        <v>1478</v>
      </c>
      <c r="D61" s="69" t="s">
        <v>1530</v>
      </c>
      <c r="E61" s="69" t="s">
        <v>1480</v>
      </c>
      <c r="F61" s="69" t="s">
        <v>1481</v>
      </c>
      <c r="G61" s="69" t="s">
        <v>1531</v>
      </c>
      <c r="H61" s="69" t="s">
        <v>1532</v>
      </c>
      <c r="I61" s="68"/>
      <c r="J61" s="68"/>
      <c r="K61" s="69" t="s">
        <v>1484</v>
      </c>
    </row>
    <row r="62" spans="1:11" ht="65">
      <c r="A62" s="68" t="s">
        <v>1533</v>
      </c>
      <c r="B62" s="69" t="s">
        <v>1477</v>
      </c>
      <c r="C62" s="69" t="s">
        <v>1478</v>
      </c>
      <c r="D62" s="69" t="s">
        <v>1534</v>
      </c>
      <c r="E62" s="69" t="s">
        <v>1480</v>
      </c>
      <c r="F62" s="69" t="s">
        <v>1481</v>
      </c>
      <c r="G62" s="69" t="s">
        <v>1535</v>
      </c>
      <c r="H62" s="69" t="s">
        <v>1536</v>
      </c>
      <c r="I62" s="68"/>
      <c r="J62" s="68"/>
      <c r="K62" s="69" t="s">
        <v>1509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62" xr:uid="{00000000-0002-0000-0F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9"/>
  <sheetViews>
    <sheetView topLeftCell="A22" zoomScale="76" workbookViewId="0">
      <selection activeCell="C28" sqref="C28"/>
    </sheetView>
  </sheetViews>
  <sheetFormatPr defaultRowHeight="12.5"/>
  <cols>
    <col min="1" max="1" width="14" customWidth="1"/>
    <col min="2" max="2" width="29.6328125" customWidth="1"/>
    <col min="3" max="3" width="22.7265625" customWidth="1"/>
    <col min="4" max="4" width="38" customWidth="1"/>
    <col min="5" max="5" width="34" customWidth="1"/>
    <col min="6" max="6" width="44" customWidth="1"/>
    <col min="7" max="7" width="30" customWidth="1"/>
    <col min="8" max="8" width="42" customWidth="1"/>
    <col min="9" max="10" width="17.36328125" customWidth="1"/>
    <col min="11" max="11" width="31" customWidth="1"/>
  </cols>
  <sheetData>
    <row r="1" spans="1:11" ht="28.5" customHeight="1">
      <c r="A1" s="41" t="s">
        <v>20</v>
      </c>
      <c r="B1" s="41"/>
      <c r="C1" s="41"/>
      <c r="D1" s="41"/>
      <c r="E1" s="41"/>
      <c r="F1" s="42"/>
      <c r="G1" s="42"/>
      <c r="H1" s="42"/>
      <c r="I1" s="42"/>
      <c r="J1" s="42"/>
      <c r="K1" s="42"/>
    </row>
    <row r="2" spans="1:11" ht="14.5">
      <c r="A2" s="43" t="s">
        <v>21</v>
      </c>
      <c r="B2" s="43"/>
      <c r="C2" s="44" t="s">
        <v>1537</v>
      </c>
      <c r="D2" s="44"/>
      <c r="E2" s="44"/>
      <c r="F2" s="42"/>
      <c r="G2" s="42"/>
      <c r="H2" s="42"/>
      <c r="I2" s="42"/>
      <c r="J2" s="42"/>
      <c r="K2" s="42"/>
    </row>
    <row r="3" spans="1:11" ht="14.5">
      <c r="A3" s="43" t="s">
        <v>23</v>
      </c>
      <c r="B3" s="43"/>
      <c r="C3" s="38" t="s">
        <v>1538</v>
      </c>
      <c r="D3" s="38"/>
      <c r="E3" s="38"/>
      <c r="F3" s="42"/>
      <c r="G3" s="42"/>
      <c r="H3" s="42"/>
      <c r="I3" s="42"/>
      <c r="J3" s="42"/>
      <c r="K3" s="42"/>
    </row>
    <row r="4" spans="1:11" ht="14.5">
      <c r="A4" s="43" t="s">
        <v>25</v>
      </c>
      <c r="B4" s="43"/>
      <c r="C4" s="38"/>
      <c r="D4" s="38"/>
      <c r="E4" s="38"/>
      <c r="F4" s="42"/>
      <c r="G4" s="42"/>
      <c r="H4" s="42"/>
      <c r="I4" s="42"/>
      <c r="J4" s="42"/>
      <c r="K4" s="42"/>
    </row>
    <row r="5" spans="1:11" ht="15" customHeight="1">
      <c r="A5" s="24" t="s">
        <v>26</v>
      </c>
      <c r="B5" s="25" t="s">
        <v>27</v>
      </c>
      <c r="C5" s="26" t="s">
        <v>28</v>
      </c>
      <c r="D5" s="27" t="s">
        <v>5</v>
      </c>
      <c r="E5" s="28" t="s">
        <v>29</v>
      </c>
      <c r="F5" s="42"/>
      <c r="G5" s="42"/>
      <c r="H5" s="42"/>
      <c r="I5" s="42"/>
      <c r="J5" s="42"/>
      <c r="K5" s="42"/>
    </row>
    <row r="6" spans="1:11" ht="15" customHeight="1">
      <c r="A6" s="29">
        <f>COUNTIF(I10:I29,"Passed")</f>
        <v>0</v>
      </c>
      <c r="B6" s="30">
        <f>COUNTIF(I10:I29,"Failed")</f>
        <v>0</v>
      </c>
      <c r="C6" s="30">
        <f>COUNTIF(I10:I29,"N/A")</f>
        <v>0</v>
      </c>
      <c r="D6" s="30">
        <f>E6-C6-A6-B6</f>
        <v>20</v>
      </c>
      <c r="E6" s="31">
        <f>COUNTA(A10:A29)</f>
        <v>20</v>
      </c>
      <c r="F6" s="42"/>
      <c r="G6" s="42"/>
      <c r="H6" s="42"/>
      <c r="I6" s="42"/>
      <c r="J6" s="42"/>
      <c r="K6" s="42"/>
    </row>
    <row r="7" spans="1:11" ht="15" customHeight="1">
      <c r="A7" s="32">
        <f>COUNTIF(J10:J29,"Passed")</f>
        <v>0</v>
      </c>
      <c r="B7" s="33">
        <f>COUNTIF(J10:J29,"Failed")</f>
        <v>0</v>
      </c>
      <c r="C7" s="33">
        <f>COUNTIF(J10:J29,"N/A")</f>
        <v>0</v>
      </c>
      <c r="D7" s="33">
        <f>E7-C7-A7-B7</f>
        <v>20</v>
      </c>
      <c r="E7" s="34">
        <f>COUNTA(A10:A29)</f>
        <v>20</v>
      </c>
      <c r="F7" s="42"/>
      <c r="G7" s="42"/>
      <c r="H7" s="42"/>
      <c r="I7" s="42"/>
      <c r="J7" s="42"/>
      <c r="K7" s="42"/>
    </row>
    <row r="8" spans="1:11" ht="10.5" customHeight="1"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5" customHeight="1">
      <c r="A9" s="35" t="s">
        <v>30</v>
      </c>
      <c r="B9" s="35" t="s">
        <v>31</v>
      </c>
      <c r="C9" s="35" t="s">
        <v>32</v>
      </c>
      <c r="D9" s="35" t="s">
        <v>33</v>
      </c>
      <c r="E9" s="35" t="s">
        <v>34</v>
      </c>
      <c r="F9" s="35" t="s">
        <v>35</v>
      </c>
      <c r="G9" s="35" t="s">
        <v>36</v>
      </c>
      <c r="H9" s="35" t="s">
        <v>37</v>
      </c>
      <c r="I9" s="35" t="s">
        <v>38</v>
      </c>
      <c r="J9" s="35" t="s">
        <v>39</v>
      </c>
      <c r="K9" s="35" t="s">
        <v>40</v>
      </c>
    </row>
    <row r="10" spans="1:11" ht="65">
      <c r="A10" s="68" t="s">
        <v>1539</v>
      </c>
      <c r="B10" s="69" t="s">
        <v>1540</v>
      </c>
      <c r="C10" s="69" t="s">
        <v>1541</v>
      </c>
      <c r="D10" s="69" t="s">
        <v>1542</v>
      </c>
      <c r="E10" s="69" t="s">
        <v>1543</v>
      </c>
      <c r="F10" s="69" t="s">
        <v>1544</v>
      </c>
      <c r="G10" s="69" t="s">
        <v>1545</v>
      </c>
      <c r="H10" s="69" t="s">
        <v>1546</v>
      </c>
      <c r="I10" s="68"/>
      <c r="J10" s="68"/>
      <c r="K10" s="69" t="s">
        <v>1547</v>
      </c>
    </row>
    <row r="11" spans="1:11" ht="65">
      <c r="A11" s="68" t="s">
        <v>1548</v>
      </c>
      <c r="B11" s="69" t="s">
        <v>1540</v>
      </c>
      <c r="C11" s="69" t="s">
        <v>1541</v>
      </c>
      <c r="D11" s="69" t="s">
        <v>1549</v>
      </c>
      <c r="E11" s="69" t="s">
        <v>1543</v>
      </c>
      <c r="F11" s="69" t="s">
        <v>1544</v>
      </c>
      <c r="G11" s="69" t="s">
        <v>1550</v>
      </c>
      <c r="H11" s="69" t="s">
        <v>1551</v>
      </c>
      <c r="I11" s="68"/>
      <c r="J11" s="68"/>
      <c r="K11" s="69" t="s">
        <v>1547</v>
      </c>
    </row>
    <row r="12" spans="1:11" ht="65">
      <c r="A12" s="68" t="s">
        <v>1552</v>
      </c>
      <c r="B12" s="69" t="s">
        <v>1540</v>
      </c>
      <c r="C12" s="69" t="s">
        <v>1541</v>
      </c>
      <c r="D12" s="69" t="s">
        <v>1553</v>
      </c>
      <c r="E12" s="69" t="s">
        <v>1543</v>
      </c>
      <c r="F12" s="69" t="s">
        <v>1544</v>
      </c>
      <c r="G12" s="69" t="s">
        <v>491</v>
      </c>
      <c r="H12" s="69" t="s">
        <v>1554</v>
      </c>
      <c r="I12" s="68"/>
      <c r="J12" s="68"/>
      <c r="K12" s="69" t="s">
        <v>1555</v>
      </c>
    </row>
    <row r="13" spans="1:11" ht="65">
      <c r="A13" s="68" t="s">
        <v>1556</v>
      </c>
      <c r="B13" s="69" t="s">
        <v>1540</v>
      </c>
      <c r="C13" s="69" t="s">
        <v>1541</v>
      </c>
      <c r="D13" s="69" t="s">
        <v>1557</v>
      </c>
      <c r="E13" s="69" t="s">
        <v>1543</v>
      </c>
      <c r="F13" s="69" t="s">
        <v>1544</v>
      </c>
      <c r="G13" s="69" t="s">
        <v>1558</v>
      </c>
      <c r="H13" s="69" t="s">
        <v>1559</v>
      </c>
      <c r="I13" s="68"/>
      <c r="J13" s="68"/>
      <c r="K13" s="69" t="s">
        <v>1547</v>
      </c>
    </row>
    <row r="14" spans="1:11" ht="65">
      <c r="A14" s="68" t="s">
        <v>1560</v>
      </c>
      <c r="B14" s="69" t="s">
        <v>1540</v>
      </c>
      <c r="C14" s="69" t="s">
        <v>1541</v>
      </c>
      <c r="D14" s="69" t="s">
        <v>1561</v>
      </c>
      <c r="E14" s="69" t="s">
        <v>1543</v>
      </c>
      <c r="F14" s="69" t="s">
        <v>1544</v>
      </c>
      <c r="G14" s="69" t="s">
        <v>1562</v>
      </c>
      <c r="H14" s="69" t="s">
        <v>1563</v>
      </c>
      <c r="I14" s="68"/>
      <c r="J14" s="68"/>
      <c r="K14" s="69" t="s">
        <v>1555</v>
      </c>
    </row>
    <row r="15" spans="1:11" ht="65">
      <c r="A15" s="68" t="s">
        <v>1564</v>
      </c>
      <c r="B15" s="69" t="s">
        <v>1540</v>
      </c>
      <c r="C15" s="69" t="s">
        <v>1541</v>
      </c>
      <c r="D15" s="69" t="s">
        <v>1565</v>
      </c>
      <c r="E15" s="69" t="s">
        <v>1543</v>
      </c>
      <c r="F15" s="69" t="s">
        <v>1544</v>
      </c>
      <c r="G15" s="69" t="s">
        <v>1566</v>
      </c>
      <c r="H15" s="69" t="s">
        <v>1567</v>
      </c>
      <c r="I15" s="68"/>
      <c r="J15" s="68"/>
      <c r="K15" s="69" t="s">
        <v>1547</v>
      </c>
    </row>
    <row r="16" spans="1:11" ht="65">
      <c r="A16" s="68" t="s">
        <v>1568</v>
      </c>
      <c r="B16" s="69" t="s">
        <v>1540</v>
      </c>
      <c r="C16" s="69" t="s">
        <v>1541</v>
      </c>
      <c r="D16" s="69" t="s">
        <v>1569</v>
      </c>
      <c r="E16" s="69" t="s">
        <v>1543</v>
      </c>
      <c r="F16" s="69" t="s">
        <v>1544</v>
      </c>
      <c r="G16" s="69" t="s">
        <v>1570</v>
      </c>
      <c r="H16" s="69" t="s">
        <v>1571</v>
      </c>
      <c r="I16" s="68"/>
      <c r="J16" s="68"/>
      <c r="K16" s="69" t="s">
        <v>1555</v>
      </c>
    </row>
    <row r="17" spans="1:11" ht="65">
      <c r="A17" s="68" t="s">
        <v>1572</v>
      </c>
      <c r="B17" s="69" t="s">
        <v>1540</v>
      </c>
      <c r="C17" s="69" t="s">
        <v>1541</v>
      </c>
      <c r="D17" s="69" t="s">
        <v>1573</v>
      </c>
      <c r="E17" s="69" t="s">
        <v>1543</v>
      </c>
      <c r="F17" s="69" t="s">
        <v>1544</v>
      </c>
      <c r="G17" s="69" t="s">
        <v>1574</v>
      </c>
      <c r="H17" s="69" t="s">
        <v>1575</v>
      </c>
      <c r="I17" s="68"/>
      <c r="J17" s="68"/>
      <c r="K17" s="69" t="s">
        <v>1555</v>
      </c>
    </row>
    <row r="18" spans="1:11" ht="65">
      <c r="A18" s="68" t="s">
        <v>1576</v>
      </c>
      <c r="B18" s="69" t="s">
        <v>1540</v>
      </c>
      <c r="C18" s="69" t="s">
        <v>1541</v>
      </c>
      <c r="D18" s="69" t="s">
        <v>1577</v>
      </c>
      <c r="E18" s="69" t="s">
        <v>1543</v>
      </c>
      <c r="F18" s="69" t="s">
        <v>1544</v>
      </c>
      <c r="G18" s="69" t="s">
        <v>1578</v>
      </c>
      <c r="H18" s="69" t="s">
        <v>1579</v>
      </c>
      <c r="I18" s="68"/>
      <c r="J18" s="68"/>
      <c r="K18" s="69" t="s">
        <v>1555</v>
      </c>
    </row>
    <row r="19" spans="1:11" ht="65">
      <c r="A19" s="68" t="s">
        <v>1580</v>
      </c>
      <c r="B19" s="69" t="s">
        <v>1540</v>
      </c>
      <c r="C19" s="69" t="s">
        <v>1541</v>
      </c>
      <c r="D19" s="69" t="s">
        <v>1581</v>
      </c>
      <c r="E19" s="69" t="s">
        <v>1543</v>
      </c>
      <c r="F19" s="69" t="s">
        <v>1544</v>
      </c>
      <c r="G19" s="69" t="s">
        <v>1582</v>
      </c>
      <c r="H19" s="69" t="s">
        <v>1583</v>
      </c>
      <c r="I19" s="68"/>
      <c r="J19" s="68"/>
      <c r="K19" s="69" t="s">
        <v>1555</v>
      </c>
    </row>
    <row r="20" spans="1:11" ht="65">
      <c r="A20" s="68" t="s">
        <v>1584</v>
      </c>
      <c r="B20" s="69" t="s">
        <v>1540</v>
      </c>
      <c r="C20" s="69" t="s">
        <v>1541</v>
      </c>
      <c r="D20" s="69" t="s">
        <v>1585</v>
      </c>
      <c r="E20" s="69" t="s">
        <v>1543</v>
      </c>
      <c r="F20" s="69" t="s">
        <v>1544</v>
      </c>
      <c r="G20" s="69" t="s">
        <v>1586</v>
      </c>
      <c r="H20" s="69" t="s">
        <v>1587</v>
      </c>
      <c r="I20" s="68"/>
      <c r="J20" s="68"/>
      <c r="K20" s="69" t="s">
        <v>1547</v>
      </c>
    </row>
    <row r="21" spans="1:11" ht="65">
      <c r="A21" s="68" t="s">
        <v>1588</v>
      </c>
      <c r="B21" s="69" t="s">
        <v>1540</v>
      </c>
      <c r="C21" s="69" t="s">
        <v>1541</v>
      </c>
      <c r="D21" s="69" t="s">
        <v>1589</v>
      </c>
      <c r="E21" s="69" t="s">
        <v>1543</v>
      </c>
      <c r="F21" s="69" t="s">
        <v>1544</v>
      </c>
      <c r="G21" s="69" t="s">
        <v>1590</v>
      </c>
      <c r="H21" s="69" t="s">
        <v>1591</v>
      </c>
      <c r="I21" s="68"/>
      <c r="J21" s="68"/>
      <c r="K21" s="69" t="s">
        <v>1547</v>
      </c>
    </row>
    <row r="22" spans="1:11" ht="65">
      <c r="A22" s="68" t="s">
        <v>1592</v>
      </c>
      <c r="B22" s="69" t="s">
        <v>1540</v>
      </c>
      <c r="C22" s="69" t="s">
        <v>1541</v>
      </c>
      <c r="D22" s="69" t="s">
        <v>1593</v>
      </c>
      <c r="E22" s="69" t="s">
        <v>1543</v>
      </c>
      <c r="F22" s="69" t="s">
        <v>1544</v>
      </c>
      <c r="G22" s="69" t="s">
        <v>1594</v>
      </c>
      <c r="H22" s="69" t="s">
        <v>1595</v>
      </c>
      <c r="I22" s="68"/>
      <c r="J22" s="68"/>
      <c r="K22" s="69" t="s">
        <v>1555</v>
      </c>
    </row>
    <row r="23" spans="1:11" ht="65">
      <c r="A23" s="68" t="s">
        <v>1596</v>
      </c>
      <c r="B23" s="69" t="s">
        <v>1540</v>
      </c>
      <c r="C23" s="69" t="s">
        <v>1541</v>
      </c>
      <c r="D23" s="69" t="s">
        <v>1597</v>
      </c>
      <c r="E23" s="69" t="s">
        <v>1543</v>
      </c>
      <c r="F23" s="69" t="s">
        <v>1544</v>
      </c>
      <c r="G23" s="69" t="s">
        <v>1598</v>
      </c>
      <c r="H23" s="69" t="s">
        <v>1599</v>
      </c>
      <c r="I23" s="68"/>
      <c r="J23" s="68"/>
      <c r="K23" s="69" t="s">
        <v>1555</v>
      </c>
    </row>
    <row r="24" spans="1:11" ht="65">
      <c r="A24" s="68" t="s">
        <v>1600</v>
      </c>
      <c r="B24" s="69" t="s">
        <v>1540</v>
      </c>
      <c r="C24" s="69" t="s">
        <v>1541</v>
      </c>
      <c r="D24" s="69" t="s">
        <v>1601</v>
      </c>
      <c r="E24" s="69" t="s">
        <v>1543</v>
      </c>
      <c r="F24" s="69" t="s">
        <v>1544</v>
      </c>
      <c r="G24" s="69" t="s">
        <v>1602</v>
      </c>
      <c r="H24" s="69" t="s">
        <v>1603</v>
      </c>
      <c r="I24" s="68"/>
      <c r="J24" s="68"/>
      <c r="K24" s="69" t="s">
        <v>1547</v>
      </c>
    </row>
    <row r="25" spans="1:11" ht="65">
      <c r="A25" s="68" t="s">
        <v>1604</v>
      </c>
      <c r="B25" s="69" t="s">
        <v>1540</v>
      </c>
      <c r="C25" s="69" t="s">
        <v>1541</v>
      </c>
      <c r="D25" s="69" t="s">
        <v>1605</v>
      </c>
      <c r="E25" s="69" t="s">
        <v>1543</v>
      </c>
      <c r="F25" s="69" t="s">
        <v>1544</v>
      </c>
      <c r="G25" s="69" t="s">
        <v>1606</v>
      </c>
      <c r="H25" s="69" t="s">
        <v>1607</v>
      </c>
      <c r="I25" s="68"/>
      <c r="J25" s="68"/>
      <c r="K25" s="69" t="s">
        <v>1555</v>
      </c>
    </row>
    <row r="26" spans="1:11" ht="65">
      <c r="A26" s="68" t="s">
        <v>1608</v>
      </c>
      <c r="B26" s="69" t="s">
        <v>1540</v>
      </c>
      <c r="C26" s="69" t="s">
        <v>1541</v>
      </c>
      <c r="D26" s="69" t="s">
        <v>1609</v>
      </c>
      <c r="E26" s="69" t="s">
        <v>1543</v>
      </c>
      <c r="F26" s="69" t="s">
        <v>1544</v>
      </c>
      <c r="G26" s="69" t="s">
        <v>1610</v>
      </c>
      <c r="H26" s="69" t="s">
        <v>1611</v>
      </c>
      <c r="I26" s="68"/>
      <c r="J26" s="68"/>
      <c r="K26" s="69" t="s">
        <v>1555</v>
      </c>
    </row>
    <row r="27" spans="1:11" ht="65">
      <c r="A27" s="68" t="s">
        <v>1612</v>
      </c>
      <c r="B27" s="69" t="s">
        <v>1540</v>
      </c>
      <c r="C27" s="69" t="s">
        <v>1541</v>
      </c>
      <c r="D27" s="69" t="s">
        <v>1613</v>
      </c>
      <c r="E27" s="69" t="s">
        <v>1543</v>
      </c>
      <c r="F27" s="69" t="s">
        <v>1544</v>
      </c>
      <c r="G27" s="69" t="s">
        <v>1614</v>
      </c>
      <c r="H27" s="69" t="s">
        <v>1615</v>
      </c>
      <c r="I27" s="68"/>
      <c r="J27" s="68"/>
      <c r="K27" s="69" t="s">
        <v>1616</v>
      </c>
    </row>
    <row r="28" spans="1:11" ht="65">
      <c r="A28" s="68" t="s">
        <v>1617</v>
      </c>
      <c r="B28" s="69" t="s">
        <v>1540</v>
      </c>
      <c r="C28" s="69" t="s">
        <v>1541</v>
      </c>
      <c r="D28" s="69" t="s">
        <v>1618</v>
      </c>
      <c r="E28" s="69" t="s">
        <v>1543</v>
      </c>
      <c r="F28" s="69" t="s">
        <v>1544</v>
      </c>
      <c r="G28" s="69" t="s">
        <v>1619</v>
      </c>
      <c r="H28" s="69" t="s">
        <v>1620</v>
      </c>
      <c r="I28" s="68"/>
      <c r="J28" s="68"/>
      <c r="K28" s="69" t="s">
        <v>1616</v>
      </c>
    </row>
    <row r="29" spans="1:11" ht="65">
      <c r="A29" s="68" t="s">
        <v>1621</v>
      </c>
      <c r="B29" s="69" t="s">
        <v>1540</v>
      </c>
      <c r="C29" s="69" t="s">
        <v>1541</v>
      </c>
      <c r="D29" s="69" t="s">
        <v>1622</v>
      </c>
      <c r="E29" s="69" t="s">
        <v>1543</v>
      </c>
      <c r="F29" s="69" t="s">
        <v>1544</v>
      </c>
      <c r="G29" s="69" t="s">
        <v>1623</v>
      </c>
      <c r="H29" s="69" t="s">
        <v>1624</v>
      </c>
      <c r="I29" s="68"/>
      <c r="J29" s="68"/>
      <c r="K29" s="69" t="s">
        <v>1547</v>
      </c>
    </row>
    <row r="30" spans="1:11" ht="56">
      <c r="A30" s="71" t="s">
        <v>1625</v>
      </c>
      <c r="B30" s="72" t="s">
        <v>1626</v>
      </c>
      <c r="C30" s="72" t="s">
        <v>1627</v>
      </c>
      <c r="D30" s="72" t="s">
        <v>1628</v>
      </c>
      <c r="E30" s="72" t="s">
        <v>1629</v>
      </c>
      <c r="F30" s="72" t="s">
        <v>1630</v>
      </c>
      <c r="G30" s="72" t="s">
        <v>1631</v>
      </c>
      <c r="H30" s="72" t="s">
        <v>1632</v>
      </c>
      <c r="I30" s="71"/>
      <c r="J30" s="71"/>
      <c r="K30" s="72" t="s">
        <v>1633</v>
      </c>
    </row>
    <row r="31" spans="1:11" ht="56">
      <c r="A31" s="71" t="s">
        <v>1634</v>
      </c>
      <c r="B31" s="72" t="s">
        <v>1626</v>
      </c>
      <c r="C31" s="72" t="s">
        <v>1627</v>
      </c>
      <c r="D31" s="72" t="s">
        <v>1635</v>
      </c>
      <c r="E31" s="72" t="s">
        <v>1629</v>
      </c>
      <c r="F31" s="72" t="s">
        <v>1630</v>
      </c>
      <c r="G31" s="72" t="s">
        <v>1636</v>
      </c>
      <c r="H31" s="72" t="s">
        <v>1637</v>
      </c>
      <c r="I31" s="71"/>
      <c r="J31" s="71"/>
      <c r="K31" s="72" t="s">
        <v>1633</v>
      </c>
    </row>
    <row r="32" spans="1:11" ht="56">
      <c r="A32" s="71" t="s">
        <v>1638</v>
      </c>
      <c r="B32" s="72" t="s">
        <v>1626</v>
      </c>
      <c r="C32" s="72" t="s">
        <v>1627</v>
      </c>
      <c r="D32" s="72" t="s">
        <v>1639</v>
      </c>
      <c r="E32" s="72" t="s">
        <v>1629</v>
      </c>
      <c r="F32" s="72" t="s">
        <v>1630</v>
      </c>
      <c r="G32" s="72" t="s">
        <v>1640</v>
      </c>
      <c r="H32" s="72" t="s">
        <v>1641</v>
      </c>
      <c r="I32" s="71"/>
      <c r="J32" s="71"/>
      <c r="K32" s="72" t="s">
        <v>1642</v>
      </c>
    </row>
    <row r="33" spans="1:11" ht="56">
      <c r="A33" s="71" t="s">
        <v>1643</v>
      </c>
      <c r="B33" s="72" t="s">
        <v>1626</v>
      </c>
      <c r="C33" s="72" t="s">
        <v>1627</v>
      </c>
      <c r="D33" s="72" t="s">
        <v>1644</v>
      </c>
      <c r="E33" s="72" t="s">
        <v>1629</v>
      </c>
      <c r="F33" s="72" t="s">
        <v>1630</v>
      </c>
      <c r="G33" s="72" t="s">
        <v>1645</v>
      </c>
      <c r="H33" s="72" t="s">
        <v>1646</v>
      </c>
      <c r="I33" s="71"/>
      <c r="J33" s="71"/>
      <c r="K33" s="72" t="s">
        <v>1642</v>
      </c>
    </row>
    <row r="34" spans="1:11" ht="56">
      <c r="A34" s="71" t="s">
        <v>1647</v>
      </c>
      <c r="B34" s="72" t="s">
        <v>1626</v>
      </c>
      <c r="C34" s="72" t="s">
        <v>1627</v>
      </c>
      <c r="D34" s="72" t="s">
        <v>1648</v>
      </c>
      <c r="E34" s="72" t="s">
        <v>1629</v>
      </c>
      <c r="F34" s="72" t="s">
        <v>1630</v>
      </c>
      <c r="G34" s="72" t="s">
        <v>1649</v>
      </c>
      <c r="H34" s="72" t="s">
        <v>1650</v>
      </c>
      <c r="I34" s="71"/>
      <c r="J34" s="71"/>
      <c r="K34" s="72" t="s">
        <v>1642</v>
      </c>
    </row>
    <row r="35" spans="1:11" ht="56">
      <c r="A35" s="71" t="s">
        <v>1651</v>
      </c>
      <c r="B35" s="72" t="s">
        <v>1626</v>
      </c>
      <c r="C35" s="72" t="s">
        <v>1627</v>
      </c>
      <c r="D35" s="72" t="s">
        <v>1652</v>
      </c>
      <c r="E35" s="72" t="s">
        <v>1629</v>
      </c>
      <c r="F35" s="72" t="s">
        <v>1630</v>
      </c>
      <c r="G35" s="72" t="s">
        <v>1653</v>
      </c>
      <c r="H35" s="72" t="s">
        <v>1654</v>
      </c>
      <c r="I35" s="71"/>
      <c r="J35" s="71"/>
      <c r="K35" s="72" t="s">
        <v>1633</v>
      </c>
    </row>
    <row r="36" spans="1:11" ht="56">
      <c r="A36" s="71" t="s">
        <v>1655</v>
      </c>
      <c r="B36" s="72" t="s">
        <v>1626</v>
      </c>
      <c r="C36" s="72" t="s">
        <v>1627</v>
      </c>
      <c r="D36" s="72" t="s">
        <v>1656</v>
      </c>
      <c r="E36" s="72" t="s">
        <v>1629</v>
      </c>
      <c r="F36" s="72" t="s">
        <v>1630</v>
      </c>
      <c r="G36" s="72" t="s">
        <v>491</v>
      </c>
      <c r="H36" s="72" t="s">
        <v>1657</v>
      </c>
      <c r="I36" s="71"/>
      <c r="J36" s="71"/>
      <c r="K36" s="72" t="s">
        <v>1633</v>
      </c>
    </row>
    <row r="37" spans="1:11" ht="56">
      <c r="A37" s="71" t="s">
        <v>1658</v>
      </c>
      <c r="B37" s="72" t="s">
        <v>1626</v>
      </c>
      <c r="C37" s="72" t="s">
        <v>1627</v>
      </c>
      <c r="D37" s="72" t="s">
        <v>1659</v>
      </c>
      <c r="E37" s="72" t="s">
        <v>1629</v>
      </c>
      <c r="F37" s="72" t="s">
        <v>1630</v>
      </c>
      <c r="G37" s="72" t="s">
        <v>1660</v>
      </c>
      <c r="H37" s="72" t="s">
        <v>1661</v>
      </c>
      <c r="I37" s="71"/>
      <c r="J37" s="71"/>
      <c r="K37" s="72" t="s">
        <v>1662</v>
      </c>
    </row>
    <row r="38" spans="1:11" ht="56">
      <c r="A38" s="71" t="s">
        <v>1663</v>
      </c>
      <c r="B38" s="72" t="s">
        <v>1626</v>
      </c>
      <c r="C38" s="72" t="s">
        <v>1627</v>
      </c>
      <c r="D38" s="72" t="s">
        <v>1664</v>
      </c>
      <c r="E38" s="72" t="s">
        <v>1629</v>
      </c>
      <c r="F38" s="72" t="s">
        <v>1630</v>
      </c>
      <c r="G38" s="72" t="s">
        <v>1665</v>
      </c>
      <c r="H38" s="72" t="s">
        <v>1666</v>
      </c>
      <c r="I38" s="71"/>
      <c r="J38" s="71"/>
      <c r="K38" s="72" t="s">
        <v>1633</v>
      </c>
    </row>
    <row r="39" spans="1:11" ht="56">
      <c r="A39" s="71" t="s">
        <v>1667</v>
      </c>
      <c r="B39" s="72" t="s">
        <v>1626</v>
      </c>
      <c r="C39" s="72" t="s">
        <v>1627</v>
      </c>
      <c r="D39" s="72" t="s">
        <v>1668</v>
      </c>
      <c r="E39" s="72" t="s">
        <v>1629</v>
      </c>
      <c r="F39" s="72" t="s">
        <v>1630</v>
      </c>
      <c r="G39" s="72" t="s">
        <v>1669</v>
      </c>
      <c r="H39" s="72" t="s">
        <v>1670</v>
      </c>
      <c r="I39" s="71"/>
      <c r="J39" s="71"/>
      <c r="K39" s="72" t="s">
        <v>1662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39" xr:uid="{00000000-0002-0000-12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4"/>
  <sheetViews>
    <sheetView tabSelected="1" workbookViewId="0">
      <selection activeCell="C13" sqref="C13"/>
    </sheetView>
  </sheetViews>
  <sheetFormatPr defaultRowHeight="13"/>
  <cols>
    <col min="1" max="1" width="14" style="52" customWidth="1"/>
    <col min="2" max="2" width="29.6328125" style="52" customWidth="1"/>
    <col min="3" max="3" width="22.7265625" style="52" customWidth="1"/>
    <col min="4" max="4" width="38" style="52" customWidth="1"/>
    <col min="5" max="5" width="34" style="52" customWidth="1"/>
    <col min="6" max="6" width="44" style="52" customWidth="1"/>
    <col min="7" max="7" width="30" style="52" customWidth="1"/>
    <col min="8" max="8" width="42" style="52" customWidth="1"/>
    <col min="9" max="10" width="17.36328125" style="52" customWidth="1"/>
    <col min="11" max="11" width="31" style="52" customWidth="1"/>
    <col min="12" max="16384" width="8.7265625" style="52"/>
  </cols>
  <sheetData>
    <row r="1" spans="1:11" ht="27.5">
      <c r="A1" s="50" t="s">
        <v>20</v>
      </c>
      <c r="B1" s="50"/>
      <c r="C1" s="50"/>
      <c r="D1" s="50"/>
      <c r="E1" s="50"/>
      <c r="F1" s="51"/>
      <c r="G1" s="51"/>
      <c r="H1" s="51"/>
      <c r="I1" s="51"/>
      <c r="J1" s="51"/>
      <c r="K1" s="51"/>
    </row>
    <row r="2" spans="1:11" ht="14">
      <c r="A2" s="53" t="s">
        <v>21</v>
      </c>
      <c r="B2" s="53"/>
      <c r="C2" s="54" t="s">
        <v>1671</v>
      </c>
      <c r="D2" s="54"/>
      <c r="E2" s="54"/>
      <c r="F2" s="51"/>
      <c r="G2" s="51"/>
      <c r="H2" s="51"/>
      <c r="I2" s="51"/>
      <c r="J2" s="51"/>
      <c r="K2" s="51"/>
    </row>
    <row r="3" spans="1:11" ht="14">
      <c r="A3" s="53" t="s">
        <v>23</v>
      </c>
      <c r="B3" s="53"/>
      <c r="C3" s="55" t="s">
        <v>1672</v>
      </c>
      <c r="D3" s="55"/>
      <c r="E3" s="55"/>
      <c r="F3" s="51"/>
      <c r="G3" s="51"/>
      <c r="H3" s="51"/>
      <c r="I3" s="51"/>
      <c r="J3" s="51"/>
      <c r="K3" s="51"/>
    </row>
    <row r="4" spans="1:11" ht="14">
      <c r="A4" s="53" t="s">
        <v>25</v>
      </c>
      <c r="B4" s="53"/>
      <c r="C4" s="55"/>
      <c r="D4" s="55"/>
      <c r="E4" s="55"/>
      <c r="F4" s="51"/>
      <c r="G4" s="51"/>
      <c r="H4" s="51"/>
      <c r="I4" s="51"/>
      <c r="J4" s="51"/>
      <c r="K4" s="51"/>
    </row>
    <row r="5" spans="1:11" ht="14">
      <c r="A5" s="56" t="s">
        <v>26</v>
      </c>
      <c r="B5" s="57" t="s">
        <v>27</v>
      </c>
      <c r="C5" s="58" t="s">
        <v>28</v>
      </c>
      <c r="D5" s="59" t="s">
        <v>5</v>
      </c>
      <c r="E5" s="60" t="s">
        <v>29</v>
      </c>
      <c r="F5" s="51"/>
      <c r="G5" s="51"/>
      <c r="H5" s="51"/>
      <c r="I5" s="51"/>
      <c r="J5" s="51"/>
      <c r="K5" s="51"/>
    </row>
    <row r="6" spans="1:11" ht="14">
      <c r="A6" s="61">
        <f>COUNTIF(I10:I26,"Passed")</f>
        <v>0</v>
      </c>
      <c r="B6" s="62">
        <f>COUNTIF(I10:I26,"Failed")</f>
        <v>0</v>
      </c>
      <c r="C6" s="62">
        <f>COUNTIF(I10:I26,"N/A")</f>
        <v>0</v>
      </c>
      <c r="D6" s="62">
        <f>E6-C6-A6-B6</f>
        <v>17</v>
      </c>
      <c r="E6" s="63">
        <f>COUNTA(A10:A26)</f>
        <v>17</v>
      </c>
      <c r="F6" s="51"/>
      <c r="G6" s="51"/>
      <c r="H6" s="51"/>
      <c r="I6" s="51"/>
      <c r="J6" s="51"/>
      <c r="K6" s="51"/>
    </row>
    <row r="7" spans="1:11" ht="14">
      <c r="A7" s="64">
        <f>COUNTIF(J10:J26,"Passed")</f>
        <v>0</v>
      </c>
      <c r="B7" s="65">
        <f>COUNTIF(J10:J26,"Failed")</f>
        <v>0</v>
      </c>
      <c r="C7" s="65">
        <f>COUNTIF(J10:J26,"N/A")</f>
        <v>0</v>
      </c>
      <c r="D7" s="65">
        <f>E7-C7-A7-B7</f>
        <v>17</v>
      </c>
      <c r="E7" s="66">
        <f>COUNTA(A10:A26)</f>
        <v>17</v>
      </c>
      <c r="F7" s="51"/>
      <c r="G7" s="51"/>
      <c r="H7" s="51"/>
      <c r="I7" s="51"/>
      <c r="J7" s="51"/>
      <c r="K7" s="51"/>
    </row>
    <row r="8" spans="1:11"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11">
      <c r="A9" s="67" t="s">
        <v>30</v>
      </c>
      <c r="B9" s="67" t="s">
        <v>31</v>
      </c>
      <c r="C9" s="67" t="s">
        <v>32</v>
      </c>
      <c r="D9" s="67" t="s">
        <v>33</v>
      </c>
      <c r="E9" s="67" t="s">
        <v>34</v>
      </c>
      <c r="F9" s="67" t="s">
        <v>35</v>
      </c>
      <c r="G9" s="67" t="s">
        <v>36</v>
      </c>
      <c r="H9" s="67" t="s">
        <v>37</v>
      </c>
      <c r="I9" s="67" t="s">
        <v>38</v>
      </c>
      <c r="J9" s="67" t="s">
        <v>39</v>
      </c>
      <c r="K9" s="67" t="s">
        <v>40</v>
      </c>
    </row>
    <row r="10" spans="1:11" ht="52">
      <c r="A10" s="68" t="s">
        <v>1673</v>
      </c>
      <c r="B10" s="69" t="s">
        <v>1674</v>
      </c>
      <c r="C10" s="69" t="s">
        <v>1675</v>
      </c>
      <c r="D10" s="69" t="s">
        <v>1676</v>
      </c>
      <c r="E10" s="69" t="s">
        <v>1677</v>
      </c>
      <c r="F10" s="69" t="s">
        <v>1678</v>
      </c>
      <c r="G10" s="69" t="s">
        <v>1679</v>
      </c>
      <c r="H10" s="69" t="s">
        <v>1680</v>
      </c>
      <c r="I10" s="68"/>
      <c r="J10" s="68"/>
      <c r="K10" s="69" t="s">
        <v>1681</v>
      </c>
    </row>
    <row r="11" spans="1:11" ht="52">
      <c r="A11" s="68" t="s">
        <v>1682</v>
      </c>
      <c r="B11" s="69" t="s">
        <v>1674</v>
      </c>
      <c r="C11" s="69" t="s">
        <v>1675</v>
      </c>
      <c r="D11" s="69" t="s">
        <v>1683</v>
      </c>
      <c r="E11" s="69" t="s">
        <v>1677</v>
      </c>
      <c r="F11" s="69" t="s">
        <v>1678</v>
      </c>
      <c r="G11" s="69" t="s">
        <v>1684</v>
      </c>
      <c r="H11" s="69" t="s">
        <v>1685</v>
      </c>
      <c r="I11" s="68"/>
      <c r="J11" s="68"/>
      <c r="K11" s="69" t="s">
        <v>1681</v>
      </c>
    </row>
    <row r="12" spans="1:11" ht="52">
      <c r="A12" s="68" t="s">
        <v>1686</v>
      </c>
      <c r="B12" s="69" t="s">
        <v>1674</v>
      </c>
      <c r="C12" s="69" t="s">
        <v>1675</v>
      </c>
      <c r="D12" s="69" t="s">
        <v>1687</v>
      </c>
      <c r="E12" s="69" t="s">
        <v>1677</v>
      </c>
      <c r="F12" s="69" t="s">
        <v>1678</v>
      </c>
      <c r="G12" s="69" t="s">
        <v>1688</v>
      </c>
      <c r="H12" s="69" t="s">
        <v>1689</v>
      </c>
      <c r="I12" s="68"/>
      <c r="J12" s="68"/>
      <c r="K12" s="69" t="s">
        <v>1681</v>
      </c>
    </row>
    <row r="13" spans="1:11" ht="52">
      <c r="A13" s="68" t="s">
        <v>1690</v>
      </c>
      <c r="B13" s="69" t="s">
        <v>1674</v>
      </c>
      <c r="C13" s="69" t="s">
        <v>1675</v>
      </c>
      <c r="D13" s="69" t="s">
        <v>1691</v>
      </c>
      <c r="E13" s="69" t="s">
        <v>1677</v>
      </c>
      <c r="F13" s="69" t="s">
        <v>1678</v>
      </c>
      <c r="G13" s="69" t="s">
        <v>1692</v>
      </c>
      <c r="H13" s="69" t="s">
        <v>1693</v>
      </c>
      <c r="I13" s="68"/>
      <c r="J13" s="68"/>
      <c r="K13" s="69" t="s">
        <v>1681</v>
      </c>
    </row>
    <row r="14" spans="1:11" ht="52">
      <c r="A14" s="68" t="s">
        <v>1694</v>
      </c>
      <c r="B14" s="69" t="s">
        <v>1674</v>
      </c>
      <c r="C14" s="69" t="s">
        <v>1675</v>
      </c>
      <c r="D14" s="69" t="s">
        <v>1695</v>
      </c>
      <c r="E14" s="69" t="s">
        <v>1677</v>
      </c>
      <c r="F14" s="69" t="s">
        <v>1678</v>
      </c>
      <c r="G14" s="69" t="s">
        <v>1696</v>
      </c>
      <c r="H14" s="69" t="s">
        <v>1693</v>
      </c>
      <c r="I14" s="68"/>
      <c r="J14" s="68"/>
      <c r="K14" s="69" t="s">
        <v>1681</v>
      </c>
    </row>
    <row r="15" spans="1:11" ht="52">
      <c r="A15" s="68" t="s">
        <v>1697</v>
      </c>
      <c r="B15" s="69" t="s">
        <v>1674</v>
      </c>
      <c r="C15" s="69" t="s">
        <v>1675</v>
      </c>
      <c r="D15" s="69" t="s">
        <v>1698</v>
      </c>
      <c r="E15" s="69" t="s">
        <v>1677</v>
      </c>
      <c r="F15" s="69" t="s">
        <v>1678</v>
      </c>
      <c r="G15" s="69" t="s">
        <v>1699</v>
      </c>
      <c r="H15" s="69" t="s">
        <v>1328</v>
      </c>
      <c r="I15" s="68"/>
      <c r="J15" s="68"/>
      <c r="K15" s="69" t="s">
        <v>1700</v>
      </c>
    </row>
    <row r="16" spans="1:11" ht="52">
      <c r="A16" s="68" t="s">
        <v>1701</v>
      </c>
      <c r="B16" s="69" t="s">
        <v>1674</v>
      </c>
      <c r="C16" s="69" t="s">
        <v>1675</v>
      </c>
      <c r="D16" s="69" t="s">
        <v>1702</v>
      </c>
      <c r="E16" s="69" t="s">
        <v>1677</v>
      </c>
      <c r="F16" s="69" t="s">
        <v>1678</v>
      </c>
      <c r="G16" s="69" t="s">
        <v>1703</v>
      </c>
      <c r="H16" s="69" t="s">
        <v>1704</v>
      </c>
      <c r="I16" s="68"/>
      <c r="J16" s="68"/>
      <c r="K16" s="69" t="s">
        <v>1681</v>
      </c>
    </row>
    <row r="17" spans="1:11" ht="52">
      <c r="A17" s="68" t="s">
        <v>1705</v>
      </c>
      <c r="B17" s="69" t="s">
        <v>1674</v>
      </c>
      <c r="C17" s="69" t="s">
        <v>1675</v>
      </c>
      <c r="D17" s="69" t="s">
        <v>1706</v>
      </c>
      <c r="E17" s="69" t="s">
        <v>1677</v>
      </c>
      <c r="F17" s="69" t="s">
        <v>1678</v>
      </c>
      <c r="G17" s="69" t="s">
        <v>1707</v>
      </c>
      <c r="H17" s="69" t="s">
        <v>1704</v>
      </c>
      <c r="I17" s="68"/>
      <c r="J17" s="68"/>
      <c r="K17" s="69" t="s">
        <v>1700</v>
      </c>
    </row>
    <row r="18" spans="1:11" ht="52">
      <c r="A18" s="68" t="s">
        <v>1708</v>
      </c>
      <c r="B18" s="69" t="s">
        <v>1674</v>
      </c>
      <c r="C18" s="69" t="s">
        <v>1675</v>
      </c>
      <c r="D18" s="69" t="s">
        <v>1709</v>
      </c>
      <c r="E18" s="69" t="s">
        <v>1677</v>
      </c>
      <c r="F18" s="69" t="s">
        <v>1678</v>
      </c>
      <c r="G18" s="69" t="s">
        <v>1710</v>
      </c>
      <c r="H18" s="69" t="s">
        <v>1711</v>
      </c>
      <c r="I18" s="68"/>
      <c r="J18" s="68"/>
      <c r="K18" s="69" t="s">
        <v>1700</v>
      </c>
    </row>
    <row r="19" spans="1:11" ht="52">
      <c r="A19" s="68" t="s">
        <v>1712</v>
      </c>
      <c r="B19" s="69" t="s">
        <v>1674</v>
      </c>
      <c r="C19" s="69" t="s">
        <v>1675</v>
      </c>
      <c r="D19" s="69" t="s">
        <v>1713</v>
      </c>
      <c r="E19" s="69" t="s">
        <v>1677</v>
      </c>
      <c r="F19" s="69" t="s">
        <v>1678</v>
      </c>
      <c r="G19" s="69" t="s">
        <v>1714</v>
      </c>
      <c r="H19" s="69" t="s">
        <v>1715</v>
      </c>
      <c r="I19" s="68"/>
      <c r="J19" s="68"/>
      <c r="K19" s="69" t="s">
        <v>1681</v>
      </c>
    </row>
    <row r="20" spans="1:11" ht="52">
      <c r="A20" s="68" t="s">
        <v>1716</v>
      </c>
      <c r="B20" s="69" t="s">
        <v>1674</v>
      </c>
      <c r="C20" s="69" t="s">
        <v>1675</v>
      </c>
      <c r="D20" s="69" t="s">
        <v>1717</v>
      </c>
      <c r="E20" s="69" t="s">
        <v>1677</v>
      </c>
      <c r="F20" s="69" t="s">
        <v>1678</v>
      </c>
      <c r="G20" s="69" t="s">
        <v>1718</v>
      </c>
      <c r="H20" s="69" t="s">
        <v>1719</v>
      </c>
      <c r="I20" s="68"/>
      <c r="J20" s="68"/>
      <c r="K20" s="69" t="s">
        <v>1681</v>
      </c>
    </row>
    <row r="21" spans="1:11" ht="52">
      <c r="A21" s="68" t="s">
        <v>1720</v>
      </c>
      <c r="B21" s="69" t="s">
        <v>1674</v>
      </c>
      <c r="C21" s="69" t="s">
        <v>1675</v>
      </c>
      <c r="D21" s="69" t="s">
        <v>1721</v>
      </c>
      <c r="E21" s="69" t="s">
        <v>1677</v>
      </c>
      <c r="F21" s="69" t="s">
        <v>1678</v>
      </c>
      <c r="G21" s="69" t="s">
        <v>1722</v>
      </c>
      <c r="H21" s="69" t="s">
        <v>1723</v>
      </c>
      <c r="I21" s="68"/>
      <c r="J21" s="68"/>
      <c r="K21" s="69" t="s">
        <v>1681</v>
      </c>
    </row>
    <row r="22" spans="1:11" ht="52">
      <c r="A22" s="68" t="s">
        <v>1724</v>
      </c>
      <c r="B22" s="69" t="s">
        <v>1674</v>
      </c>
      <c r="C22" s="69" t="s">
        <v>1675</v>
      </c>
      <c r="D22" s="69" t="s">
        <v>1725</v>
      </c>
      <c r="E22" s="69" t="s">
        <v>1677</v>
      </c>
      <c r="F22" s="69" t="s">
        <v>1678</v>
      </c>
      <c r="G22" s="69" t="s">
        <v>1726</v>
      </c>
      <c r="H22" s="69" t="s">
        <v>1727</v>
      </c>
      <c r="I22" s="68"/>
      <c r="J22" s="68"/>
      <c r="K22" s="69" t="s">
        <v>1681</v>
      </c>
    </row>
    <row r="23" spans="1:11" ht="52">
      <c r="A23" s="68" t="s">
        <v>1728</v>
      </c>
      <c r="B23" s="69" t="s">
        <v>1674</v>
      </c>
      <c r="C23" s="69" t="s">
        <v>1675</v>
      </c>
      <c r="D23" s="69" t="s">
        <v>1729</v>
      </c>
      <c r="E23" s="69" t="s">
        <v>1677</v>
      </c>
      <c r="F23" s="69" t="s">
        <v>1678</v>
      </c>
      <c r="G23" s="69" t="s">
        <v>1730</v>
      </c>
      <c r="H23" s="69" t="s">
        <v>1731</v>
      </c>
      <c r="I23" s="68"/>
      <c r="J23" s="68"/>
      <c r="K23" s="69" t="s">
        <v>1700</v>
      </c>
    </row>
    <row r="24" spans="1:11" ht="52">
      <c r="A24" s="68" t="s">
        <v>1732</v>
      </c>
      <c r="B24" s="69" t="s">
        <v>1674</v>
      </c>
      <c r="C24" s="69" t="s">
        <v>1675</v>
      </c>
      <c r="D24" s="69" t="s">
        <v>1733</v>
      </c>
      <c r="E24" s="69" t="s">
        <v>1677</v>
      </c>
      <c r="F24" s="69" t="s">
        <v>1678</v>
      </c>
      <c r="G24" s="69" t="s">
        <v>1734</v>
      </c>
      <c r="H24" s="69" t="s">
        <v>1735</v>
      </c>
      <c r="I24" s="68"/>
      <c r="J24" s="68"/>
      <c r="K24" s="69" t="s">
        <v>1681</v>
      </c>
    </row>
    <row r="25" spans="1:11" ht="52">
      <c r="A25" s="68" t="s">
        <v>1736</v>
      </c>
      <c r="B25" s="69" t="s">
        <v>1674</v>
      </c>
      <c r="C25" s="69" t="s">
        <v>1675</v>
      </c>
      <c r="D25" s="69" t="s">
        <v>1737</v>
      </c>
      <c r="E25" s="69" t="s">
        <v>1677</v>
      </c>
      <c r="F25" s="69" t="s">
        <v>1678</v>
      </c>
      <c r="G25" s="69" t="s">
        <v>1738</v>
      </c>
      <c r="H25" s="69" t="s">
        <v>1739</v>
      </c>
      <c r="I25" s="68"/>
      <c r="J25" s="68"/>
      <c r="K25" s="69" t="s">
        <v>1700</v>
      </c>
    </row>
    <row r="26" spans="1:11" ht="52">
      <c r="A26" s="68" t="s">
        <v>1740</v>
      </c>
      <c r="B26" s="69" t="s">
        <v>1674</v>
      </c>
      <c r="C26" s="69" t="s">
        <v>1675</v>
      </c>
      <c r="D26" s="69" t="s">
        <v>1741</v>
      </c>
      <c r="E26" s="69" t="s">
        <v>1677</v>
      </c>
      <c r="F26" s="69" t="s">
        <v>1678</v>
      </c>
      <c r="G26" s="69" t="s">
        <v>1742</v>
      </c>
      <c r="H26" s="69" t="s">
        <v>1743</v>
      </c>
      <c r="I26" s="68"/>
      <c r="J26" s="68"/>
      <c r="K26" s="69" t="s">
        <v>1681</v>
      </c>
    </row>
    <row r="27" spans="1:11" s="70" customFormat="1" ht="52">
      <c r="A27" s="68" t="s">
        <v>1744</v>
      </c>
      <c r="B27" s="69" t="s">
        <v>1745</v>
      </c>
      <c r="C27" s="69" t="s">
        <v>1746</v>
      </c>
      <c r="D27" s="69" t="s">
        <v>1747</v>
      </c>
      <c r="E27" s="69" t="s">
        <v>1748</v>
      </c>
      <c r="F27" s="69" t="s">
        <v>1749</v>
      </c>
      <c r="G27" s="69" t="s">
        <v>1750</v>
      </c>
      <c r="H27" s="69" t="s">
        <v>1751</v>
      </c>
      <c r="I27" s="68"/>
      <c r="J27" s="68"/>
      <c r="K27" s="69" t="s">
        <v>1752</v>
      </c>
    </row>
    <row r="28" spans="1:11" s="70" customFormat="1" ht="52">
      <c r="A28" s="68" t="s">
        <v>1753</v>
      </c>
      <c r="B28" s="69" t="s">
        <v>1745</v>
      </c>
      <c r="C28" s="69" t="s">
        <v>1746</v>
      </c>
      <c r="D28" s="69" t="s">
        <v>1754</v>
      </c>
      <c r="E28" s="69" t="s">
        <v>1748</v>
      </c>
      <c r="F28" s="69" t="s">
        <v>1749</v>
      </c>
      <c r="G28" s="69" t="s">
        <v>1755</v>
      </c>
      <c r="H28" s="69" t="s">
        <v>1756</v>
      </c>
      <c r="I28" s="68"/>
      <c r="J28" s="68"/>
      <c r="K28" s="69" t="s">
        <v>1757</v>
      </c>
    </row>
    <row r="29" spans="1:11" s="70" customFormat="1" ht="52">
      <c r="A29" s="68" t="s">
        <v>1758</v>
      </c>
      <c r="B29" s="69" t="s">
        <v>1745</v>
      </c>
      <c r="C29" s="69" t="s">
        <v>1746</v>
      </c>
      <c r="D29" s="69" t="s">
        <v>1759</v>
      </c>
      <c r="E29" s="69" t="s">
        <v>1748</v>
      </c>
      <c r="F29" s="69" t="s">
        <v>1749</v>
      </c>
      <c r="G29" s="69" t="s">
        <v>1760</v>
      </c>
      <c r="H29" s="69" t="s">
        <v>1761</v>
      </c>
      <c r="I29" s="68"/>
      <c r="J29" s="68"/>
      <c r="K29" s="69" t="s">
        <v>1752</v>
      </c>
    </row>
    <row r="30" spans="1:11" s="70" customFormat="1" ht="52">
      <c r="A30" s="68" t="s">
        <v>1762</v>
      </c>
      <c r="B30" s="69" t="s">
        <v>1745</v>
      </c>
      <c r="C30" s="69" t="s">
        <v>1746</v>
      </c>
      <c r="D30" s="69" t="s">
        <v>1763</v>
      </c>
      <c r="E30" s="69" t="s">
        <v>1748</v>
      </c>
      <c r="F30" s="69" t="s">
        <v>1749</v>
      </c>
      <c r="G30" s="69" t="s">
        <v>1764</v>
      </c>
      <c r="H30" s="69" t="s">
        <v>1765</v>
      </c>
      <c r="I30" s="68"/>
      <c r="J30" s="68"/>
      <c r="K30" s="69" t="s">
        <v>1766</v>
      </c>
    </row>
    <row r="31" spans="1:11" s="70" customFormat="1" ht="52">
      <c r="A31" s="68" t="s">
        <v>1767</v>
      </c>
      <c r="B31" s="69" t="s">
        <v>1745</v>
      </c>
      <c r="C31" s="69" t="s">
        <v>1746</v>
      </c>
      <c r="D31" s="69" t="s">
        <v>1768</v>
      </c>
      <c r="E31" s="69" t="s">
        <v>1748</v>
      </c>
      <c r="F31" s="69" t="s">
        <v>1749</v>
      </c>
      <c r="G31" s="69" t="s">
        <v>1769</v>
      </c>
      <c r="H31" s="69" t="s">
        <v>1770</v>
      </c>
      <c r="I31" s="68"/>
      <c r="J31" s="68"/>
      <c r="K31" s="69" t="s">
        <v>1771</v>
      </c>
    </row>
    <row r="32" spans="1:11" s="70" customFormat="1" ht="52">
      <c r="A32" s="68" t="s">
        <v>1772</v>
      </c>
      <c r="B32" s="69" t="s">
        <v>1745</v>
      </c>
      <c r="C32" s="69" t="s">
        <v>1746</v>
      </c>
      <c r="D32" s="69" t="s">
        <v>1773</v>
      </c>
      <c r="E32" s="69" t="s">
        <v>1748</v>
      </c>
      <c r="F32" s="69" t="s">
        <v>1749</v>
      </c>
      <c r="G32" s="69" t="s">
        <v>1774</v>
      </c>
      <c r="H32" s="69" t="s">
        <v>1775</v>
      </c>
      <c r="I32" s="68"/>
      <c r="J32" s="68"/>
      <c r="K32" s="69" t="s">
        <v>1776</v>
      </c>
    </row>
    <row r="33" spans="1:11" s="70" customFormat="1" ht="52">
      <c r="A33" s="68" t="s">
        <v>1777</v>
      </c>
      <c r="B33" s="69" t="s">
        <v>1745</v>
      </c>
      <c r="C33" s="69" t="s">
        <v>1746</v>
      </c>
      <c r="D33" s="69" t="s">
        <v>1778</v>
      </c>
      <c r="E33" s="69" t="s">
        <v>1748</v>
      </c>
      <c r="F33" s="69" t="s">
        <v>1749</v>
      </c>
      <c r="G33" s="69" t="s">
        <v>1779</v>
      </c>
      <c r="H33" s="69" t="s">
        <v>1780</v>
      </c>
      <c r="I33" s="68"/>
      <c r="J33" s="68"/>
      <c r="K33" s="69" t="s">
        <v>1781</v>
      </c>
    </row>
    <row r="34" spans="1:11" s="70" customFormat="1" ht="52">
      <c r="A34" s="68" t="s">
        <v>1782</v>
      </c>
      <c r="B34" s="69" t="s">
        <v>1745</v>
      </c>
      <c r="C34" s="69" t="s">
        <v>1746</v>
      </c>
      <c r="D34" s="69" t="s">
        <v>1783</v>
      </c>
      <c r="E34" s="69" t="s">
        <v>1748</v>
      </c>
      <c r="F34" s="69" t="s">
        <v>1749</v>
      </c>
      <c r="G34" s="69" t="s">
        <v>1784</v>
      </c>
      <c r="H34" s="69" t="s">
        <v>1785</v>
      </c>
      <c r="I34" s="68"/>
      <c r="J34" s="68"/>
      <c r="K34" s="69" t="s">
        <v>1786</v>
      </c>
    </row>
    <row r="35" spans="1:11" s="70" customFormat="1" ht="52">
      <c r="A35" s="68" t="s">
        <v>1787</v>
      </c>
      <c r="B35" s="69" t="s">
        <v>1745</v>
      </c>
      <c r="C35" s="69" t="s">
        <v>1746</v>
      </c>
      <c r="D35" s="69" t="s">
        <v>1788</v>
      </c>
      <c r="E35" s="69" t="s">
        <v>1748</v>
      </c>
      <c r="F35" s="69" t="s">
        <v>1749</v>
      </c>
      <c r="G35" s="69" t="s">
        <v>1789</v>
      </c>
      <c r="H35" s="69" t="s">
        <v>1790</v>
      </c>
      <c r="I35" s="68"/>
      <c r="J35" s="68"/>
      <c r="K35" s="69" t="s">
        <v>1791</v>
      </c>
    </row>
    <row r="36" spans="1:11" s="70" customFormat="1" ht="52">
      <c r="A36" s="68" t="s">
        <v>1792</v>
      </c>
      <c r="B36" s="69" t="s">
        <v>1745</v>
      </c>
      <c r="C36" s="69" t="s">
        <v>1746</v>
      </c>
      <c r="D36" s="69" t="s">
        <v>1793</v>
      </c>
      <c r="E36" s="69" t="s">
        <v>1748</v>
      </c>
      <c r="F36" s="69" t="s">
        <v>1749</v>
      </c>
      <c r="G36" s="69" t="s">
        <v>1794</v>
      </c>
      <c r="H36" s="69" t="s">
        <v>1795</v>
      </c>
      <c r="I36" s="68"/>
      <c r="J36" s="68"/>
      <c r="K36" s="69" t="s">
        <v>1791</v>
      </c>
    </row>
    <row r="37" spans="1:11" s="70" customFormat="1" ht="52">
      <c r="A37" s="68" t="s">
        <v>1796</v>
      </c>
      <c r="B37" s="69" t="s">
        <v>1745</v>
      </c>
      <c r="C37" s="69" t="s">
        <v>1746</v>
      </c>
      <c r="D37" s="69" t="s">
        <v>1797</v>
      </c>
      <c r="E37" s="69" t="s">
        <v>1748</v>
      </c>
      <c r="F37" s="69" t="s">
        <v>1749</v>
      </c>
      <c r="G37" s="69" t="s">
        <v>1798</v>
      </c>
      <c r="H37" s="69" t="s">
        <v>1799</v>
      </c>
      <c r="I37" s="68"/>
      <c r="J37" s="68"/>
      <c r="K37" s="69" t="s">
        <v>1800</v>
      </c>
    </row>
    <row r="38" spans="1:11" s="70" customFormat="1" ht="52">
      <c r="A38" s="68" t="s">
        <v>1801</v>
      </c>
      <c r="B38" s="69" t="s">
        <v>1745</v>
      </c>
      <c r="C38" s="69" t="s">
        <v>1746</v>
      </c>
      <c r="D38" s="69" t="s">
        <v>1802</v>
      </c>
      <c r="E38" s="69" t="s">
        <v>1748</v>
      </c>
      <c r="F38" s="69" t="s">
        <v>1749</v>
      </c>
      <c r="G38" s="69" t="s">
        <v>1803</v>
      </c>
      <c r="H38" s="69" t="s">
        <v>1804</v>
      </c>
      <c r="I38" s="68"/>
      <c r="J38" s="68"/>
      <c r="K38" s="69" t="s">
        <v>1800</v>
      </c>
    </row>
    <row r="39" spans="1:11" s="70" customFormat="1" ht="52">
      <c r="A39" s="68" t="s">
        <v>1805</v>
      </c>
      <c r="B39" s="69" t="s">
        <v>1745</v>
      </c>
      <c r="C39" s="69" t="s">
        <v>1746</v>
      </c>
      <c r="D39" s="69" t="s">
        <v>1806</v>
      </c>
      <c r="E39" s="69" t="s">
        <v>1748</v>
      </c>
      <c r="F39" s="69" t="s">
        <v>1749</v>
      </c>
      <c r="G39" s="69" t="s">
        <v>1807</v>
      </c>
      <c r="H39" s="69" t="s">
        <v>1808</v>
      </c>
      <c r="I39" s="68"/>
      <c r="J39" s="68"/>
      <c r="K39" s="69" t="s">
        <v>1791</v>
      </c>
    </row>
    <row r="40" spans="1:11" s="70" customFormat="1" ht="52">
      <c r="A40" s="68" t="s">
        <v>1809</v>
      </c>
      <c r="B40" s="69" t="s">
        <v>1745</v>
      </c>
      <c r="C40" s="69" t="s">
        <v>1746</v>
      </c>
      <c r="D40" s="69" t="s">
        <v>1810</v>
      </c>
      <c r="E40" s="69" t="s">
        <v>1748</v>
      </c>
      <c r="F40" s="69" t="s">
        <v>1749</v>
      </c>
      <c r="G40" s="69" t="s">
        <v>1811</v>
      </c>
      <c r="H40" s="69" t="s">
        <v>1812</v>
      </c>
      <c r="I40" s="68"/>
      <c r="J40" s="68"/>
      <c r="K40" s="69" t="s">
        <v>1813</v>
      </c>
    </row>
    <row r="41" spans="1:11" s="70" customFormat="1" ht="52">
      <c r="A41" s="68" t="s">
        <v>1814</v>
      </c>
      <c r="B41" s="69" t="s">
        <v>1745</v>
      </c>
      <c r="C41" s="69" t="s">
        <v>1746</v>
      </c>
      <c r="D41" s="69" t="s">
        <v>1815</v>
      </c>
      <c r="E41" s="69" t="s">
        <v>1748</v>
      </c>
      <c r="F41" s="69" t="s">
        <v>1749</v>
      </c>
      <c r="G41" s="69" t="s">
        <v>1816</v>
      </c>
      <c r="H41" s="69" t="s">
        <v>1817</v>
      </c>
      <c r="I41" s="68"/>
      <c r="J41" s="68"/>
      <c r="K41" s="69" t="s">
        <v>1791</v>
      </c>
    </row>
    <row r="42" spans="1:11" s="70" customFormat="1" ht="52">
      <c r="A42" s="68" t="s">
        <v>1818</v>
      </c>
      <c r="B42" s="69" t="s">
        <v>1745</v>
      </c>
      <c r="C42" s="69" t="s">
        <v>1746</v>
      </c>
      <c r="D42" s="69" t="s">
        <v>1819</v>
      </c>
      <c r="E42" s="69" t="s">
        <v>1748</v>
      </c>
      <c r="F42" s="69" t="s">
        <v>1749</v>
      </c>
      <c r="G42" s="69" t="s">
        <v>1820</v>
      </c>
      <c r="H42" s="69" t="s">
        <v>1821</v>
      </c>
      <c r="I42" s="68"/>
      <c r="J42" s="68"/>
      <c r="K42" s="69" t="s">
        <v>1822</v>
      </c>
    </row>
    <row r="43" spans="1:11" s="70" customFormat="1" ht="52">
      <c r="A43" s="68" t="s">
        <v>1823</v>
      </c>
      <c r="B43" s="69" t="s">
        <v>1745</v>
      </c>
      <c r="C43" s="69" t="s">
        <v>1746</v>
      </c>
      <c r="D43" s="69" t="s">
        <v>1824</v>
      </c>
      <c r="E43" s="69" t="s">
        <v>1748</v>
      </c>
      <c r="F43" s="69" t="s">
        <v>1749</v>
      </c>
      <c r="G43" s="69" t="s">
        <v>1825</v>
      </c>
      <c r="H43" s="69" t="s">
        <v>1826</v>
      </c>
      <c r="I43" s="68"/>
      <c r="J43" s="68"/>
      <c r="K43" s="69" t="s">
        <v>1827</v>
      </c>
    </row>
    <row r="44" spans="1:11" s="70" customFormat="1" ht="52">
      <c r="A44" s="68" t="s">
        <v>1828</v>
      </c>
      <c r="B44" s="69" t="s">
        <v>1745</v>
      </c>
      <c r="C44" s="69" t="s">
        <v>1746</v>
      </c>
      <c r="D44" s="69" t="s">
        <v>1829</v>
      </c>
      <c r="E44" s="69" t="s">
        <v>1748</v>
      </c>
      <c r="F44" s="69" t="s">
        <v>1749</v>
      </c>
      <c r="G44" s="69" t="s">
        <v>1830</v>
      </c>
      <c r="H44" s="69" t="s">
        <v>1831</v>
      </c>
      <c r="I44" s="68"/>
      <c r="J44" s="68"/>
      <c r="K44" s="69" t="s">
        <v>1832</v>
      </c>
    </row>
  </sheetData>
  <mergeCells count="9">
    <mergeCell ref="A1:E1"/>
    <mergeCell ref="F1:K8"/>
    <mergeCell ref="A2:B2"/>
    <mergeCell ref="C2:E2"/>
    <mergeCell ref="A3:B3"/>
    <mergeCell ref="C3:E3"/>
    <mergeCell ref="A4:B4"/>
    <mergeCell ref="C4:E4"/>
    <mergeCell ref="B8:E8"/>
  </mergeCells>
  <dataValidations count="1">
    <dataValidation type="list" sqref="I10:J44" xr:uid="{00000000-0002-0000-1400-000000000000}">
      <formula1>"Passed,Failed,N/A"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86"/>
  <sheetViews>
    <sheetView workbookViewId="0">
      <selection activeCell="D40" sqref="D40"/>
    </sheetView>
  </sheetViews>
  <sheetFormatPr defaultColWidth="12.6328125" defaultRowHeight="12.5"/>
  <cols>
    <col min="2" max="2" width="17.08984375" customWidth="1"/>
    <col min="3" max="3" width="29.26953125" customWidth="1"/>
    <col min="4" max="4" width="30.90625" customWidth="1"/>
    <col min="5" max="5" width="39" customWidth="1"/>
    <col min="6" max="6" width="28" customWidth="1"/>
    <col min="7" max="7" width="41.90625" customWidth="1"/>
    <col min="8" max="8" width="43.6328125" customWidth="1"/>
    <col min="9" max="9" width="23.7265625" customWidth="1"/>
    <col min="10" max="10" width="17.08984375" customWidth="1"/>
  </cols>
  <sheetData>
    <row r="1" spans="1:38">
      <c r="A1" s="45" t="s">
        <v>0</v>
      </c>
      <c r="B1" s="46"/>
      <c r="C1" s="46"/>
      <c r="D1" s="46"/>
      <c r="E1" s="46"/>
      <c r="F1" s="47"/>
      <c r="G1" s="48"/>
      <c r="H1" s="42"/>
      <c r="I1" s="42"/>
      <c r="J1" s="42"/>
      <c r="K1" s="42"/>
      <c r="L1" s="4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2"/>
      <c r="AH1" s="2"/>
      <c r="AI1" s="2"/>
      <c r="AJ1" s="2"/>
      <c r="AK1" s="2"/>
      <c r="AL1" s="2"/>
    </row>
    <row r="2" spans="1:38" ht="15.5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42"/>
      <c r="H2" s="42"/>
      <c r="I2" s="42"/>
      <c r="J2" s="42"/>
      <c r="K2" s="42"/>
      <c r="L2" s="4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2"/>
      <c r="AH2" s="2"/>
      <c r="AI2" s="2"/>
      <c r="AJ2" s="2"/>
      <c r="AK2" s="2"/>
      <c r="AL2" s="2"/>
    </row>
    <row r="3" spans="1:38" ht="15.5">
      <c r="A3" s="9">
        <f>COUNTIF(L6:L970,"Rejected")</f>
        <v>0</v>
      </c>
      <c r="B3" s="10">
        <f>COUNTIF(L6:L970,"Deferred")</f>
        <v>0</v>
      </c>
      <c r="C3" s="10">
        <f>COUNTIF(L6:L970,"Re-opened")</f>
        <v>0</v>
      </c>
      <c r="D3" s="10">
        <f>COUNTIF(L6:L970,"Closed")</f>
        <v>0</v>
      </c>
      <c r="E3" s="10">
        <f>F3-A3-B3-C3-D3</f>
        <v>3</v>
      </c>
      <c r="F3" s="11">
        <f>COUNTA(A6:A985)</f>
        <v>3</v>
      </c>
      <c r="G3" s="42"/>
      <c r="H3" s="42"/>
      <c r="I3" s="42"/>
      <c r="J3" s="42"/>
      <c r="K3" s="42"/>
      <c r="L3" s="4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2"/>
      <c r="AF3" s="2"/>
      <c r="AG3" s="2"/>
      <c r="AH3" s="2"/>
      <c r="AI3" s="2"/>
      <c r="AJ3" s="2"/>
      <c r="AK3" s="2"/>
      <c r="AL3" s="2"/>
    </row>
    <row r="4" spans="1:38">
      <c r="A4" s="49"/>
      <c r="B4" s="39"/>
      <c r="C4" s="39"/>
      <c r="D4" s="39"/>
      <c r="E4" s="39"/>
      <c r="F4" s="40"/>
      <c r="G4" s="42"/>
      <c r="H4" s="42"/>
      <c r="I4" s="42"/>
      <c r="J4" s="42"/>
      <c r="K4" s="42"/>
      <c r="L4" s="4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2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  <c r="AB5" s="2"/>
      <c r="AC5" s="1"/>
      <c r="AD5" s="2"/>
      <c r="AE5" s="2"/>
      <c r="AF5" s="2"/>
      <c r="AG5" s="2"/>
      <c r="AH5" s="2"/>
      <c r="AI5" s="2"/>
      <c r="AJ5" s="2"/>
      <c r="AK5" s="2"/>
      <c r="AL5" s="2"/>
    </row>
    <row r="6" spans="1:38" ht="15" customHeight="1">
      <c r="A6" s="13">
        <f t="shared" ref="A6:A8" si="0">ROW()-5</f>
        <v>1</v>
      </c>
      <c r="B6" s="14"/>
      <c r="C6" s="14"/>
      <c r="D6" s="14"/>
      <c r="E6" s="14"/>
      <c r="F6" s="15"/>
      <c r="G6" s="14"/>
      <c r="H6" s="15"/>
      <c r="I6" s="15"/>
      <c r="J6" s="16" t="s">
        <v>19</v>
      </c>
      <c r="K6" s="15"/>
      <c r="L6" s="17"/>
      <c r="M6" s="2"/>
      <c r="N6" s="1"/>
      <c r="O6" s="1"/>
      <c r="P6" s="18"/>
      <c r="Q6" s="1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2"/>
      <c r="AF6" s="2"/>
      <c r="AG6" s="2"/>
      <c r="AH6" s="2"/>
      <c r="AI6" s="2"/>
      <c r="AJ6" s="2"/>
      <c r="AK6" s="2"/>
      <c r="AL6" s="2"/>
    </row>
    <row r="7" spans="1:38" ht="15" customHeight="1">
      <c r="A7" s="19">
        <f t="shared" si="0"/>
        <v>2</v>
      </c>
      <c r="B7" s="20"/>
      <c r="C7" s="21"/>
      <c r="D7" s="20"/>
      <c r="E7" s="20"/>
      <c r="F7" s="20"/>
      <c r="G7" s="20"/>
      <c r="H7" s="20"/>
      <c r="I7" s="20"/>
      <c r="J7" s="22"/>
      <c r="K7" s="20"/>
      <c r="L7" s="2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5" customHeight="1">
      <c r="A8" s="19">
        <f t="shared" si="0"/>
        <v>3</v>
      </c>
      <c r="B8" s="20"/>
      <c r="C8" s="21"/>
      <c r="D8" s="20"/>
      <c r="E8" s="20"/>
      <c r="F8" s="20"/>
      <c r="G8" s="20"/>
      <c r="H8" s="20"/>
      <c r="I8" s="20"/>
      <c r="J8" s="22"/>
      <c r="K8" s="20"/>
      <c r="L8" s="2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</row>
  </sheetData>
  <mergeCells count="3">
    <mergeCell ref="A1:F1"/>
    <mergeCell ref="G1:L4"/>
    <mergeCell ref="A4:F4"/>
  </mergeCells>
  <dataValidations count="2">
    <dataValidation type="list" allowBlank="1" showErrorMessage="1" sqref="L6:L8" xr:uid="{00000000-0002-0000-0100-000000000000}">
      <formula1>"Rejected,Deferred,Re-opened,Closed"</formula1>
    </dataValidation>
    <dataValidation type="list" allowBlank="1" showErrorMessage="1" sqref="J6:J8" xr:uid="{00000000-0002-0000-01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 Auth &amp; Profile</vt:lpstr>
      <vt:lpstr>02 Dashboard and report</vt:lpstr>
      <vt:lpstr>03 Product</vt:lpstr>
      <vt:lpstr>04 Inventory</vt:lpstr>
      <vt:lpstr>05 POS Session and Refund</vt:lpstr>
      <vt:lpstr>06 KDS and Orders</vt:lpstr>
      <vt:lpstr>07 HR features</vt:lpstr>
      <vt:lpstr>08 Payroll</vt:lpstr>
      <vt:lpstr>09 Users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Khoa</dc:creator>
  <cp:lastModifiedBy>Lê Anh Khoa</cp:lastModifiedBy>
  <dcterms:created xsi:type="dcterms:W3CDTF">2026-07-17T04:15:50Z</dcterms:created>
  <dcterms:modified xsi:type="dcterms:W3CDTF">2026-07-17T04:15:50Z</dcterms:modified>
</cp:coreProperties>
</file>