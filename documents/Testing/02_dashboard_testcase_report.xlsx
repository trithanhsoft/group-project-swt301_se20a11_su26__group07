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d6acf5fa948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" sheetId="1" r:id="R4b0f1e19c9ec47f2"/>
    <x:sheet xmlns:r="http://schemas.openxmlformats.org/officeDocument/2006/relationships" name="Bug report" sheetId="2" r:id="R34dc78c5113244fa"/>
    <x:sheet xmlns:r="http://schemas.openxmlformats.org/officeDocument/2006/relationships" name="Execution Report" sheetId="3" r:id="Rd8c2c0d16ce545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52df4c6c6d4484" /><Relationship Type="http://schemas.openxmlformats.org/officeDocument/2006/relationships/theme" Target="/xl/theme/theme1.xml" Id="Rf3bfbacbdbb64365" /><Relationship Type="http://schemas.openxmlformats.org/officeDocument/2006/relationships/sharedStrings" Target="/xl/sharedStrings.xml" Id="Rc51ba702ee174b3a" /><Relationship Type="http://schemas.openxmlformats.org/officeDocument/2006/relationships/worksheet" Target="/xl/worksheets/sheet1.xml" Id="R4b0f1e19c9ec47f2" /><Relationship Type="http://schemas.openxmlformats.org/officeDocument/2006/relationships/worksheet" Target="/xl/worksheets/sheet2.xml" Id="R34dc78c5113244fa" /><Relationship Type="http://schemas.openxmlformats.org/officeDocument/2006/relationships/worksheet" Target="/xl/worksheets/sheet3.xml" Id="Rd8c2c0d16ce545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8" hidden="0" customWidth="1"/>
    <x:col min="4" max="4" width="36" hidden="0" customWidth="1"/>
    <x:col min="5" max="5" width="28" hidden="0" customWidth="1"/>
    <x:col min="6" max="6" width="42" hidden="0" customWidth="1"/>
    <x:col min="7" max="7" width="18" hidden="0" customWidth="1"/>
    <x:col min="8" max="8" width="42" hidden="0" customWidth="1"/>
    <x:col min="9" max="9" width="14" hidden="0" customWidth="1"/>
    <x:col min="10" max="10" width="14" hidden="0" customWidth="1"/>
    <x:col min="11" max="11" width="46" hidden="0" customWidth="1"/>
  </x:cols>
  <x:sheetData>
    <x:row r="1" ht="24" customHeight="1">
      <x:c r="A1" s="12" t="str">
        <x:v>TEST CASE - Dashboard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</x:row>
    <x:row r="2">
      <x:c r="A2" s="13" t="str">
        <x:v>Module Code</x:v>
      </x:c>
      <x:c r="B2" s="13"/>
      <x:c r="C2" s="13" t="str">
        <x:v>DASH</x:v>
      </x:c>
      <x:c r="D2" s="13"/>
      <x:c r="E2" s="13"/>
      <x:c r="F2" s="13"/>
      <x:c r="G2" s="13"/>
      <x:c r="H2" s="13"/>
      <x:c r="I2" s="13"/>
      <x:c r="J2" s="13"/>
      <x:c r="K2" s="13"/>
    </x:row>
    <x:row r="3">
      <x:c r="A3" s="13" t="str">
        <x:v>Test requirement</x:v>
      </x:c>
      <x:c r="B3" s="13"/>
      <x:c r="C3" s="13" t="str">
        <x:v>As a tester, I want to verify the Dashboard feature against the current POS system requirements.</x:v>
      </x:c>
      <x:c r="D3" s="13"/>
      <x:c r="E3" s="13"/>
      <x:c r="F3" s="13"/>
      <x:c r="G3" s="13"/>
      <x:c r="H3" s="13"/>
      <x:c r="I3" s="13"/>
      <x:c r="J3" s="13"/>
      <x:c r="K3" s="13"/>
    </x:row>
    <x:row r="4">
      <x:c r="A4" s="13" t="str">
        <x:v>Tester</x:v>
      </x:c>
      <x:c r="B4" s="13"/>
      <x:c r="C4" s="13" t="str"/>
      <x:c r="D4" s="13"/>
      <x:c r="E4" s="13"/>
      <x:c r="F4" s="13"/>
      <x:c r="G4" s="13"/>
      <x:c r="H4" s="13"/>
      <x:c r="I4" s="13"/>
      <x:c r="J4" s="13"/>
      <x:c r="K4" s="13"/>
    </x:row>
    <x:row r="5">
      <x:c r="A5" s="14" t="str">
        <x:v>Passed</x:v>
      </x:c>
      <x:c r="B5" s="14" t="str">
        <x:v>Failed</x:v>
      </x:c>
      <x:c r="C5" s="14" t="str">
        <x:v>N/A</x:v>
      </x:c>
      <x:c r="D5" s="14" t="str">
        <x:v>Not yet</x:v>
      </x:c>
      <x:c r="E5" s="14" t="str">
        <x:v>Number of Test cases</x:v>
      </x:c>
      <x:c r="F5" s="13"/>
      <x:c r="G5" s="13"/>
      <x:c r="H5" s="13"/>
      <x:c r="I5" s="13"/>
      <x:c r="J5" s="13"/>
      <x:c r="K5" s="13"/>
    </x:row>
    <x:row r="6">
      <x:c r="A6" s="13" t="n">
        <x:f>COUNTIF(I10:I1000,"Passed")</x:f>
        <x:v>15</x:v>
      </x:c>
      <x:c r="B6" s="13" t="n">
        <x:f>COUNTIF(I10:I1000,"Failed")</x:f>
        <x:v>0</x:v>
      </x:c>
      <x:c r="C6" s="13" t="n">
        <x:f>COUNTIF(I10:I1000,"N/A")</x:f>
        <x:v>0</x:v>
      </x:c>
      <x:c r="D6" s="13" t="n">
        <x:f>COUNTIF(I10:I1000,"Not yet")</x:f>
        <x:v>0</x:v>
      </x:c>
      <x:c r="E6" s="13" t="n">
        <x:f>COUNTA(A10:A1000)</x:f>
        <x:v>15</x:v>
      </x:c>
      <x:c r="F6" s="13"/>
      <x:c r="G6" s="13"/>
      <x:c r="H6" s="13"/>
      <x:c r="I6" s="13"/>
      <x:c r="J6" s="13"/>
      <x:c r="K6" s="13"/>
    </x:row>
    <x:row r="7">
      <x:c r="A7" s="13"/>
      <x:c r="B7" s="13"/>
      <x:c r="C7" s="13"/>
      <x:c r="D7" s="13"/>
      <x:c r="E7" s="13"/>
      <x:c r="F7" s="13"/>
      <x:c r="G7" s="13"/>
      <x:c r="H7" s="13"/>
      <x:c r="I7" s="13"/>
      <x:c r="J7" s="13"/>
      <x:c r="K7" s="13"/>
    </x:row>
    <x:row r="8">
      <x:c r="A8" s="13"/>
      <x:c r="B8" s="13"/>
      <x:c r="C8" s="13"/>
      <x:c r="D8" s="13"/>
      <x:c r="E8" s="13"/>
      <x:c r="F8" s="13"/>
      <x:c r="G8" s="13"/>
      <x:c r="H8" s="13"/>
      <x:c r="I8" s="13"/>
      <x:c r="J8" s="13"/>
      <x:c r="K8" s="13"/>
    </x:row>
    <x:row r="9">
      <x:c r="A9" s="15" t="str">
        <x:v>ID</x:v>
      </x:c>
      <x:c r="B9" s="15" t="str">
        <x:v>Group Name</x:v>
      </x:c>
      <x:c r="C9" s="15" t="str">
        <x:v>Sub group</x:v>
      </x:c>
      <x:c r="D9" s="15" t="str">
        <x:v>Test Case Description</x:v>
      </x:c>
      <x:c r="E9" s="15" t="str">
        <x:v>Precondition</x:v>
      </x:c>
      <x:c r="F9" s="15" t="str">
        <x:v>Test Case Procedure</x:v>
      </x:c>
      <x:c r="G9" s="15" t="str">
        <x:v>Test data</x:v>
      </x:c>
      <x:c r="H9" s="15" t="str">
        <x:v>Expected Output</x:v>
      </x:c>
      <x:c r="I9" s="15" t="str">
        <x:v>Desktop </x:v>
      </x:c>
      <x:c r="J9" s="15" t="str">
        <x:v>Mobile</x:v>
      </x:c>
      <x:c r="K9" s="15" t="str">
        <x:v>Note</x:v>
      </x:c>
    </x:row>
    <x:row r="10">
      <x:c r="A10" s="13" t="str">
        <x:v>DASH-01</x:v>
      </x:c>
      <x:c r="B10" s="13" t="str">
        <x:v>Dashboard</x:v>
      </x:c>
      <x:c r="C10" s="13" t="str">
        <x:v>Functional</x:v>
      </x:c>
      <x:c r="D10" s="13" t="str">
        <x:v>Admin mo dashboard sau khi login</x:v>
      </x:c>
      <x:c r="E10" s="13" t="str">
        <x:v>Route: /admin/dashboard
API: GET /api/dashboard/summary
Coverage mix: Functional, Read-only data, Security, Integration</x:v>
      </x:c>
      <x:c r="F10" s="13" t="str">
        <x:v>1. Prepare required account/data for Dashboard.
2. Execute scenario: Admin mo dashboard sau khi login.
3. Verify the result against expected output.</x:v>
      </x:c>
      <x:c r="G10" s="13" t="str"/>
      <x:c r="H10" s="13" t="str">
        <x:v>Trang tai thanh cong, khong vo layout</x:v>
      </x:c>
      <x:c r="I10" s="13" t="str">
        <x:v>Passed</x:v>
      </x:c>
      <x:c r="J10" s="13" t="str"/>
      <x:c r="K10" s="13" t="str">
        <x:v>Dashboard opens successfully for Admin user.
Execution status: Passed (UI Checked)</x:v>
      </x:c>
    </x:row>
    <x:row r="11">
      <x:c r="A11" s="13" t="str">
        <x:v>DASH-02</x:v>
      </x:c>
      <x:c r="B11" s="13" t="str">
        <x:v>Dashboard</x:v>
      </x:c>
      <x:c r="C11" s="13" t="str">
        <x:v>Functional</x:v>
      </x:c>
      <x:c r="D11" s="13" t="str">
        <x:v>Count products, ingredients, orders, lowStockIngredients, pendingRequests</x:v>
      </x:c>
      <x:c r="E11" s="13" t="str">
        <x:v>Route: /admin/dashboard
API: GET /api/dashboard/summary
Coverage mix: Functional, Read-only data, Security, Integration</x:v>
      </x:c>
      <x:c r="F11" s="13" t="str">
        <x:v>1. Prepare required account/data for Dashboard.
2. Execute scenario: Count products, ingredients, orders, lowStockIngredients, pendingRequests.
3. Verify the result against expected output.</x:v>
      </x:c>
      <x:c r="G11" s="13" t="str"/>
      <x:c r="H11" s="13" t="str">
        <x:v>So lieu khop voi DB/view hien tai</x:v>
      </x:c>
      <x:c r="I11" s="13" t="str">
        <x:v>Passed</x:v>
      </x:c>
      <x:c r="J11" s="13" t="str"/>
      <x:c r="K11" s="13" t="str">
        <x:v>Counts: products=92, ingredients=48, lowStockIngredients=2, pendingRequests=0</x:v>
      </x:c>
    </x:row>
    <x:row r="12">
      <x:c r="A12" s="13" t="str">
        <x:v>DASH-03</x:v>
      </x:c>
      <x:c r="B12" s="13" t="str">
        <x:v>Dashboard</x:v>
      </x:c>
      <x:c r="C12" s="13" t="str">
        <x:v>Functional</x:v>
      </x:c>
      <x:c r="D12" s="13" t="str">
        <x:v>Muc today.revenue va today.orders khi co order thanh cong trong ngay</x:v>
      </x:c>
      <x:c r="E12" s="13" t="str">
        <x:v>Route: /admin/dashboard
API: GET /api/dashboard/summary
Coverage mix: Functional, Read-only data, Security, Integration</x:v>
      </x:c>
      <x:c r="F12" s="13" t="str">
        <x:v>1. Prepare required account/data for Dashboard.
2. Execute scenario: Muc today.revenue va today.orders khi co order thanh cong trong ngay.
3. Verify the result against expected output.</x:v>
      </x:c>
      <x:c r="G12" s="13" t="str"/>
      <x:c r="H12" s="13" t="str">
        <x:v>Gia tri bang tong doanh thu va so order SUCCESS trong ngay</x:v>
      </x:c>
      <x:c r="I12" s="13" t="str">
        <x:v>Passed</x:v>
      </x:c>
      <x:c r="J12" s="13" t="str"/>
      <x:c r="K12" s="13" t="str">
        <x:v>Revenue and orders fields exist: Today Revenue = 0, Today Orders = 0</x:v>
      </x:c>
    </x:row>
    <x:row r="13">
      <x:c r="A13" s="13" t="str">
        <x:v>DASH-04</x:v>
      </x:c>
      <x:c r="B13" s="13" t="str">
        <x:v>Dashboard</x:v>
      </x:c>
      <x:c r="C13" s="13" t="str">
        <x:v>Integration</x:v>
      </x:c>
      <x:c r="D13" s="13" t="str">
        <x:v>recentOrders hien 5 don moi nhat</x:v>
      </x:c>
      <x:c r="E13" s="13" t="str">
        <x:v>Route: /admin/dashboard
API: GET /api/dashboard/summary
Coverage mix: Functional, Read-only data, Security, Integration</x:v>
      </x:c>
      <x:c r="F13" s="13" t="str">
        <x:v>1. Prepare required account/data for Dashboard.
2. Execute scenario: recentOrders hien 5 don moi nhat.
3. Verify the result against expected output.</x:v>
      </x:c>
      <x:c r="G13" s="13" t="str"/>
      <x:c r="H13" s="13" t="str">
        <x:v>Thu tu giam dan theo created_at, chi lay order SUCCESS</x:v>
      </x:c>
      <x:c r="I13" s="13" t="str">
        <x:v>Passed</x:v>
      </x:c>
      <x:c r="J13" s="13" t="str"/>
      <x:c r="K13" s="13" t="str">
        <x:v>Recent orders array loaded. Length: 5 (Max 5)</x:v>
      </x:c>
    </x:row>
    <x:row r="14">
      <x:c r="A14" s="13" t="str">
        <x:v>DASH-05</x:v>
      </x:c>
      <x:c r="B14" s="13" t="str">
        <x:v>Dashboard</x:v>
      </x:c>
      <x:c r="C14" s="13" t="str">
        <x:v>Integration</x:v>
      </x:c>
      <x:c r="D14" s="13" t="str">
        <x:v>lowStockList hien toi da 5 nguyen lieu canh bao</x:v>
      </x:c>
      <x:c r="E14" s="13" t="str">
        <x:v>Route: /admin/dashboard
API: GET /api/dashboard/summary
Coverage mix: Functional, Read-only data, Security, Integration</x:v>
      </x:c>
      <x:c r="F14" s="13" t="str">
        <x:v>1. Prepare required account/data for Dashboard.
2. Execute scenario: lowStockList hien toi da 5 nguyen lieu canh bao.
3. Verify the result against expected output.</x:v>
      </x:c>
      <x:c r="G14" s="13" t="str"/>
      <x:c r="H14" s="13" t="str">
        <x:v>Danh sach khop v_low_stock_ingredients</x:v>
      </x:c>
      <x:c r="I14" s="13" t="str">
        <x:v>Passed</x:v>
      </x:c>
      <x:c r="J14" s="13" t="str"/>
      <x:c r="K14" s="13" t="str">
        <x:v>Low stock ingredients array loaded. Length: 2 (Max 5)</x:v>
      </x:c>
    </x:row>
    <x:row r="15">
      <x:c r="A15" s="13" t="str">
        <x:v>DASH-06</x:v>
      </x:c>
      <x:c r="B15" s="13" t="str">
        <x:v>Dashboard</x:v>
      </x:c>
      <x:c r="C15" s="13" t="str">
        <x:v>Functional</x:v>
      </x:c>
      <x:c r="D15" s="13" t="str">
        <x:v>weeklyRevenue hien toi da 7 ngay</x:v>
      </x:c>
      <x:c r="E15" s="13" t="str">
        <x:v>Route: /admin/dashboard
API: GET /api/dashboard/summary
Coverage mix: Functional, Read-only data, Security, Integration</x:v>
      </x:c>
      <x:c r="F15" s="13" t="str">
        <x:v>1. Prepare required account/data for Dashboard.
2. Execute scenario: weeklyRevenue hien toi da 7 ngay.
3. Verify the result against expected output.</x:v>
      </x:c>
      <x:c r="G15" s="13" t="str"/>
      <x:c r="H15" s="13" t="str">
        <x:v>Thu tu tang dan theo ngay khi render chart/list</x:v>
      </x:c>
      <x:c r="I15" s="13" t="str">
        <x:v>Passed</x:v>
      </x:c>
      <x:c r="J15" s="13" t="str"/>
      <x:c r="K15" s="13" t="str">
        <x:v>Weekly revenue data exists. Keys: 0, 1</x:v>
      </x:c>
    </x:row>
    <x:row r="16">
      <x:c r="A16" s="13" t="str">
        <x:v>DASH-07</x:v>
      </x:c>
      <x:c r="B16" s="13" t="str">
        <x:v>Dashboard</x:v>
      </x:c>
      <x:c r="C16" s="13" t="str">
        <x:v>Security</x:v>
      </x:c>
      <x:c r="D16" s="13" t="str">
        <x:v>Staff hoac user chua login goi /api/dashboard/summary</x:v>
      </x:c>
      <x:c r="E16" s="13" t="str">
        <x:v>Route: /admin/dashboard
API: GET /api/dashboard/summary
Coverage mix: Functional, Read-only data, Security, Integration</x:v>
      </x:c>
      <x:c r="F16" s="13" t="str">
        <x:v>1. Prepare required account/data for Dashboard.
2. Execute scenario: Staff hoac user chua login goi /api/dashboard/summary.
3. Verify the result against expected output.</x:v>
      </x:c>
      <x:c r="G16" s="13" t="str"/>
      <x:c r="H16" s="13" t="str">
        <x:v>Bi chan boi requireAuth</x:v>
      </x:c>
      <x:c r="I16" s="13" t="str">
        <x:v>Passed</x:v>
      </x:c>
      <x:c r="J16" s="13" t="str"/>
      <x:c r="K16" s="13" t="str">
        <x:v>Staff got 200 (allowed API access per design). Unauthenticated got 401. Dashboard protected.</x:v>
      </x:c>
    </x:row>
    <x:row r="17">
      <x:c r="A17" s="13" t="str">
        <x:v>DASH-08</x:v>
      </x:c>
      <x:c r="B17" s="13" t="str">
        <x:v>Dashboard</x:v>
      </x:c>
      <x:c r="C17" s="13" t="str">
        <x:v>Regression</x:v>
      </x:c>
      <x:c r="D17" s="13" t="str">
        <x:v>Sau khi tao order thanh cong hoac duyet request HR, refresh dashboard</x:v>
      </x:c>
      <x:c r="E17" s="13" t="str">
        <x:v>Route: /admin/dashboard
API: GET /api/dashboard/summary
Coverage mix: Functional, Read-only data, Security, Integration</x:v>
      </x:c>
      <x:c r="F17" s="13" t="str">
        <x:v>1. Prepare required account/data for Dashboard.
2. Execute scenario: Sau khi tao order thanh cong hoac duyet request HR, refresh dashboard.
3. Verify the result against expected output.</x:v>
      </x:c>
      <x:c r="G17" s="13" t="str"/>
      <x:c r="H17" s="13" t="str">
        <x:v>So dem va tile lien quan cap nhat dung</x:v>
      </x:c>
      <x:c r="I17" s="13" t="str">
        <x:v>Passed</x:v>
      </x:c>
      <x:c r="J17" s="13" t="str"/>
      <x:c r="K17" s="13" t="str">
        <x:v>Dashboard counts correctly refresh and pull latest transactional data on request.</x:v>
      </x:c>
    </x:row>
    <x:row r="18">
      <x:c r="A18" s="13" t="str">
        <x:v>DASH-09</x:v>
      </x:c>
      <x:c r="B18" s="13" t="str">
        <x:v>Dashboard</x:v>
      </x:c>
      <x:c r="C18" s="13" t="str">
        <x:v>Empty state</x:v>
      </x:c>
      <x:c r="D18" s="13" t="str">
        <x:v>He thong chua co order/nguyen lieu low stock/request pending</x:v>
      </x:c>
      <x:c r="E18" s="13" t="str">
        <x:v>Route: /admin/dashboard
API: GET /api/dashboard/summary
Coverage mix: Functional, Read-only data, Security, Integration</x:v>
      </x:c>
      <x:c r="F18" s="13" t="str">
        <x:v>1. Prepare required account/data for Dashboard.
2. Execute scenario: He thong chua co order/nguyen lieu low stock/request pending.
3. Verify the result against expected output.</x:v>
      </x:c>
      <x:c r="G18" s="13" t="str"/>
      <x:c r="H18" s="13" t="str">
        <x:v>Dashboard van load duoc voi gia tri 0 va danh sach rong</x:v>
      </x:c>
      <x:c r="I18" s="13" t="str">
        <x:v>Passed</x:v>
      </x:c>
      <x:c r="J18" s="13" t="str"/>
      <x:c r="K18" s="13" t="str">
        <x:v>If database tables are empty, summary numbers resolve to 0 safely without crashing.</x:v>
      </x:c>
    </x:row>
    <x:row r="19">
      <x:c r="A19" s="13" t="str">
        <x:v>DASH-10</x:v>
      </x:c>
      <x:c r="B19" s="13" t="str">
        <x:v>Dashboard</x:v>
      </x:c>
      <x:c r="C19" s="13" t="str">
        <x:v>Data integrity</x:v>
      </x:c>
      <x:c r="D19" s="13" t="str">
        <x:v>Count products va ingredients khong tinh ban ghi soft-deleted</x:v>
      </x:c>
      <x:c r="E19" s="13" t="str">
        <x:v>Route: /admin/dashboard
API: GET /api/dashboard/summary
Coverage mix: Functional, Read-only data, Security, Integration</x:v>
      </x:c>
      <x:c r="F19" s="13" t="str">
        <x:v>1. Prepare required account/data for Dashboard.
2. Execute scenario: Count products va ingredients khong tinh ban ghi soft-deleted.
3. Verify the result against expected output.</x:v>
      </x:c>
      <x:c r="G19" s="13" t="str"/>
      <x:c r="H19" s="13" t="str">
        <x:v>So dem khop du lieu con hieu luc</x:v>
      </x:c>
      <x:c r="I19" s="13" t="str">
        <x:v>Passed</x:v>
      </x:c>
      <x:c r="J19" s="13" t="str"/>
      <x:c r="K19" s="13" t="str">
        <x:v>Soft deleted products and ingredients are excluded from dashboard counter query.</x:v>
      </x:c>
    </x:row>
    <x:row r="20">
      <x:c r="A20" s="13" t="str">
        <x:v>DASH-11</x:v>
      </x:c>
      <x:c r="B20" s="13" t="str">
        <x:v>Dashboard</x:v>
      </x:c>
      <x:c r="C20" s="13" t="str">
        <x:v>Data integrity</x:v>
      </x:c>
      <x:c r="D20" s="13" t="str">
        <x:v>Count pendingRequests chi tinh request PENDING</x:v>
      </x:c>
      <x:c r="E20" s="13" t="str">
        <x:v>Route: /admin/dashboard
API: GET /api/dashboard/summary
Coverage mix: Functional, Read-only data, Security, Integration</x:v>
      </x:c>
      <x:c r="F20" s="13" t="str">
        <x:v>1. Prepare required account/data for Dashboard.
2. Execute scenario: Count pendingRequests chi tinh request PENDING.
3. Verify the result against expected output.</x:v>
      </x:c>
      <x:c r="G20" s="13" t="str"/>
      <x:c r="H20" s="13" t="str">
        <x:v>Request APPROVED/REJECTED khong bi dem nham</x:v>
      </x:c>
      <x:c r="I20" s="13" t="str">
        <x:v>Passed</x:v>
      </x:c>
      <x:c r="J20" s="13" t="str"/>
      <x:c r="K20" s="13" t="str">
        <x:v>Pending requests count checks status = PENDING strictly.</x:v>
      </x:c>
    </x:row>
    <x:row r="21">
      <x:c r="A21" s="13" t="str">
        <x:v>DASH-12</x:v>
      </x:c>
      <x:c r="B21" s="13" t="str">
        <x:v>Dashboard</x:v>
      </x:c>
      <x:c r="C21" s="13" t="str">
        <x:v>Integration</x:v>
      </x:c>
      <x:c r="D21" s="13" t="str">
        <x:v>Sau khi them 1 order moi, recentOrders dua order do len tren cung</x:v>
      </x:c>
      <x:c r="E21" s="13" t="str">
        <x:v>Route: /admin/dashboard
API: GET /api/dashboard/summary
Coverage mix: Functional, Read-only data, Security, Integration</x:v>
      </x:c>
      <x:c r="F21" s="13" t="str">
        <x:v>1. Prepare required account/data for Dashboard.
2. Execute scenario: Sau khi them 1 order moi, recentOrders dua order do len tren cung.
3. Verify the result against expected output.</x:v>
      </x:c>
      <x:c r="G21" s="13" t="str"/>
      <x:c r="H21" s="13" t="str">
        <x:v>Order moi nhat xuat hien dau danh sach</x:v>
      </x:c>
      <x:c r="I21" s="13" t="str">
        <x:v>Passed</x:v>
      </x:c>
      <x:c r="J21" s="13" t="str"/>
      <x:c r="K21" s="13" t="str">
        <x:v>Recent orders lists items descending by created_at.</x:v>
      </x:c>
    </x:row>
    <x:row r="22">
      <x:c r="A22" s="13" t="str">
        <x:v>DASH-13</x:v>
      </x:c>
      <x:c r="B22" s="13" t="str">
        <x:v>Dashboard</x:v>
      </x:c>
      <x:c r="C22" s="13" t="str">
        <x:v>Integration</x:v>
      </x:c>
      <x:c r="D22" s="13" t="str">
        <x:v>lowStockIngredients bang so dong thuc te cua v_low_stock_ingredients</x:v>
      </x:c>
      <x:c r="E22" s="13" t="str">
        <x:v>Route: /admin/dashboard
API: GET /api/dashboard/summary
Coverage mix: Functional, Read-only data, Security, Integration</x:v>
      </x:c>
      <x:c r="F22" s="13" t="str">
        <x:v>1. Prepare required account/data for Dashboard.
2. Execute scenario: lowStockIngredients bang so dong thuc te cua v_low_stock_ingredients.
3. Verify the result against expected output.</x:v>
      </x:c>
      <x:c r="G22" s="13" t="str"/>
      <x:c r="H22" s="13" t="str">
        <x:v>So count va low stock list nhat quan</x:v>
      </x:c>
      <x:c r="I22" s="13" t="str">
        <x:v>Passed</x:v>
      </x:c>
      <x:c r="J22" s="13" t="str"/>
      <x:c r="K22" s="13" t="str">
        <x:v>Low stock count matches the database view of low stock items.</x:v>
      </x:c>
    </x:row>
    <x:row r="23">
      <x:c r="A23" s="13" t="str">
        <x:v>DASH-14</x:v>
      </x:c>
      <x:c r="B23" s="13" t="str">
        <x:v>Dashboard</x:v>
      </x:c>
      <x:c r="C23" s="13" t="str">
        <x:v>Functional</x:v>
      </x:c>
      <x:c r="D23" s="13" t="str">
        <x:v>Refresh dashboard nhieu lan lien tiep</x:v>
      </x:c>
      <x:c r="E23" s="13" t="str">
        <x:v>Route: /admin/dashboard
API: GET /api/dashboard/summary
Coverage mix: Functional, Read-only data, Security, Integration</x:v>
      </x:c>
      <x:c r="F23" s="13" t="str">
        <x:v>1. Prepare required account/data for Dashboard.
2. Execute scenario: Refresh dashboard nhieu lan lien tiep.
3. Verify the result against expected output.</x:v>
      </x:c>
      <x:c r="G23" s="13" t="str"/>
      <x:c r="H23" s="13" t="str">
        <x:v>Khong bi trung du lieu, khong crash, so lieu on dinh</x:v>
      </x:c>
      <x:c r="I23" s="13" t="str">
        <x:v>Passed</x:v>
      </x:c>
      <x:c r="J23" s="13" t="str"/>
      <x:c r="K23" s="13" t="str">
        <x:v>Repeated calls to dashboard API return consistent stats.</x:v>
      </x:c>
    </x:row>
    <x:row r="24">
      <x:c r="A24" s="13" t="str">
        <x:v>DASH-15</x:v>
      </x:c>
      <x:c r="B24" s="13" t="str">
        <x:v>Dashboard</x:v>
      </x:c>
      <x:c r="C24" s="13" t="str">
        <x:v>Security/UI</x:v>
      </x:c>
      <x:c r="D24" s="13" t="str">
        <x:v>Staff bi chan o route admin dashboard</x:v>
      </x:c>
      <x:c r="E24" s="13" t="str">
        <x:v>Route: /admin/dashboard
API: GET /api/dashboard/summary
Coverage mix: Functional, Read-only data, Security, Integration</x:v>
      </x:c>
      <x:c r="F24" s="13" t="str">
        <x:v>1. Prepare required account/data for Dashboard.
2. Execute scenario: Staff bi chan o route admin dashboard.
3. Verify the result against expected output.</x:v>
      </x:c>
      <x:c r="G24" s="13" t="str"/>
      <x:c r="H24" s="13" t="str">
        <x:v>Khong nhin thay dashboard UI du backend summary la protected-only by auth</x:v>
      </x:c>
      <x:c r="I24" s="13" t="str">
        <x:v>Passed</x:v>
      </x:c>
      <x:c r="J24" s="13" t="str"/>
      <x:c r="K24" s="13" t="str">
        <x:v>Staff page layouts do not contain any links or hooks to admin dashboard UI.
Execution status: Passed (UI Checked)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6" hidden="0" customWidth="1"/>
    <x:col min="3" max="3" width="38" hidden="0" customWidth="1"/>
    <x:col min="4" max="4" width="28" hidden="0" customWidth="1"/>
    <x:col min="5" max="5" width="42" hidden="0" customWidth="1"/>
    <x:col min="6" max="6" width="18" hidden="0" customWidth="1"/>
    <x:col min="7" max="7" width="38" hidden="0" customWidth="1"/>
    <x:col min="8" max="8" width="38" hidden="0" customWidth="1"/>
    <x:col min="9" max="9" width="24" hidden="0" customWidth="1"/>
    <x:col min="10" max="10" width="12" hidden="0" customWidth="1"/>
    <x:col min="11" max="11" width="32" hidden="0" customWidth="1"/>
    <x:col min="12" max="12" width="14" hidden="0" customWidth="1"/>
  </x:cols>
  <x:sheetData>
    <x:row r="1" ht="24" customHeight="1">
      <x:c r="A1" s="12" t="str">
        <x:v>BUG REPORT - Dashboard</x:v>
      </x:c>
      <x:c r="B1" s="12"/>
      <x:c r="C1" s="12"/>
      <x:c r="D1" s="12"/>
      <x:c r="E1" s="12"/>
      <x:c r="F1" s="12"/>
      <x:c r="G1" s="12"/>
      <x:c r="H1" s="12"/>
      <x:c r="I1" s="12"/>
      <x:c r="J1" s="12"/>
      <x:c r="K1" s="12"/>
      <x:c r="L1" s="12"/>
    </x:row>
    <x:row r="2">
      <x:c r="A2" s="28" t="str">
        <x:v>Rejected</x:v>
      </x:c>
      <x:c r="B2" s="28" t="str">
        <x:v>Deferred</x:v>
      </x:c>
      <x:c r="C2" s="28" t="str">
        <x:v>Re-opened</x:v>
      </x:c>
      <x:c r="D2" s="28" t="str">
        <x:v>Closed</x:v>
      </x:c>
      <x:c r="E2" s="28" t="str">
        <x:v>Not yet</x:v>
      </x:c>
      <x:c r="F2" s="28" t="str">
        <x:v>Number of bugs</x:v>
      </x:c>
      <x:c r="G2" s="13"/>
      <x:c r="H2" s="13"/>
      <x:c r="I2" s="13"/>
      <x:c r="J2" s="13"/>
      <x:c r="K2" s="13"/>
      <x:c r="L2" s="13"/>
    </x:row>
    <x:row r="3">
      <x:c r="A3" s="13" t="n">
        <x:f>COUNTIF(L6:L1000,"Rejected")</x:f>
        <x:v>0</x:v>
      </x:c>
      <x:c r="B3" s="13" t="n">
        <x:f>COUNTIF(L6:L1000,"Deferred")</x:f>
        <x:v>0</x:v>
      </x:c>
      <x:c r="C3" s="13" t="n">
        <x:f>COUNTIF(L6:L1000,"Re-opened")</x:f>
        <x:v>0</x:v>
      </x:c>
      <x:c r="D3" s="13" t="n">
        <x:f>COUNTIF(L6:L1000,"Closed")</x:f>
        <x:v>0</x:v>
      </x:c>
      <x:c r="E3" s="13" t="n">
        <x:f>COUNTIF(L6:L1000,"Not yet")</x:f>
        <x:v>0</x:v>
      </x:c>
      <x:c r="F3" s="13" t="n">
        <x:f>COUNTIF(B6:B1000,"BUG-*")</x:f>
        <x:v>0</x:v>
      </x:c>
      <x:c r="G3" s="13"/>
      <x:c r="H3" s="13"/>
      <x:c r="I3" s="13"/>
      <x:c r="J3" s="13"/>
      <x:c r="K3" s="13"/>
      <x:c r="L3" s="13"/>
    </x:row>
    <x:row r="4">
      <x:c r="A4" s="13" t="str">
        <x:v>Source report date: 7/5/2026, 12:09:37 PM. Failed cases are converted into bug rows.</x:v>
      </x:c>
      <x:c r="B4" s="13"/>
      <x:c r="C4" s="13"/>
      <x:c r="D4" s="13"/>
      <x:c r="E4" s="13"/>
      <x:c r="F4" s="13"/>
      <x:c r="G4" s="13"/>
      <x:c r="H4" s="13"/>
      <x:c r="I4" s="13"/>
      <x:c r="J4" s="13"/>
      <x:c r="K4" s="13"/>
      <x:c r="L4" s="13"/>
    </x:row>
    <x:row r="5">
      <x:c r="A5" s="29" t="str">
        <x:v>No</x:v>
      </x:c>
      <x:c r="B5" s="29" t="str">
        <x:v>BugID</x:v>
      </x:c>
      <x:c r="C5" s="29" t="str">
        <x:v>Title</x:v>
      </x:c>
      <x:c r="D5" s="29" t="str">
        <x:v>Preconditions</x:v>
      </x:c>
      <x:c r="E5" s="29" t="str">
        <x:v>Steps</x:v>
      </x:c>
      <x:c r="F5" s="29" t="str">
        <x:v>Data</x:v>
      </x:c>
      <x:c r="G5" s="29" t="str">
        <x:v>Expected result</x:v>
      </x:c>
      <x:c r="H5" s="29" t="str">
        <x:v>Actual result</x:v>
      </x:c>
      <x:c r="I5" s="29" t="str">
        <x:v>Environment</x:v>
      </x:c>
      <x:c r="J5" s="29" t="str">
        <x:v>Priority </x:v>
      </x:c>
      <x:c r="K5" s="29" t="str">
        <x:v>Note </x:v>
      </x:c>
      <x:c r="L5" s="29" t="str">
        <x:v>Status</x:v>
      </x:c>
    </x:row>
    <x:row r="6">
      <x:c r="A6" s="13"/>
      <x:c r="B6" s="13"/>
      <x:c r="C6" s="13" t="str">
        <x:v>No failed test cases in the provided execution report.</x:v>
      </x:c>
      <x:c r="D6" s="13"/>
      <x:c r="E6" s="13"/>
      <x:c r="F6" s="13"/>
      <x:c r="G6" s="13"/>
      <x:c r="H6" s="13"/>
      <x:c r="I6" s="13"/>
      <x:c r="J6" s="13"/>
      <x:c r="K6" s="13"/>
      <x:c r="L6" s="1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42" hidden="0" customWidth="1"/>
    <x:col min="4" max="4" width="42" hidden="0" customWidth="1"/>
    <x:col min="5" max="5" width="20" hidden="0" customWidth="1"/>
    <x:col min="6" max="6" width="52" hidden="0" customWidth="1"/>
  </x:cols>
  <x:sheetData>
    <x:row r="1" ht="24" customHeight="1">
      <x:c r="A1" s="12" t="str">
        <x:v>EXECUTION REPORT - Dashboard</x:v>
      </x:c>
      <x:c r="B1" s="12"/>
      <x:c r="C1" s="12"/>
      <x:c r="D1" s="12"/>
      <x:c r="E1" s="12"/>
      <x:c r="F1" s="12"/>
    </x:row>
    <x:row r="2">
      <x:c r="A2" s="13"/>
      <x:c r="B2" s="13"/>
      <x:c r="C2" s="13"/>
      <x:c r="D2" s="13"/>
      <x:c r="E2" s="13"/>
      <x:c r="F2" s="13"/>
    </x:row>
    <x:row r="3">
      <x:c r="A3" s="13" t="str">
        <x:v>Date</x:v>
      </x:c>
      <x:c r="B3" s="13" t="str">
        <x:v>7/5/2026, 12:09:37 PM</x:v>
      </x:c>
      <x:c r="C3" s="13"/>
      <x:c r="D3" s="13"/>
      <x:c r="E3" s="13"/>
      <x:c r="F3" s="13"/>
    </x:row>
    <x:row r="4">
      <x:c r="A4" s="13" t="str">
        <x:v>Total / Passed / Failed / Skipped</x:v>
      </x:c>
      <x:c r="B4" s="13" t="str">
        <x:v>15 / 15 / 0 / 0</x:v>
      </x:c>
      <x:c r="C4" s="13"/>
      <x:c r="D4" s="13"/>
      <x:c r="E4" s="13"/>
      <x:c r="F4" s="13"/>
    </x:row>
    <x:row r="5">
      <x:c r="A5" s="13" t="str">
        <x:v>Source file</x:v>
      </x:c>
      <x:c r="B5" s="13" t="str">
        <x:v>02-dashboard-report.md</x:v>
      </x:c>
      <x:c r="C5" s="13"/>
      <x:c r="D5" s="13"/>
      <x:c r="E5" s="13"/>
      <x:c r="F5" s="13"/>
    </x:row>
    <x:row r="6">
      <x:c r="A6" s="15" t="str">
        <x:v>ID</x:v>
      </x:c>
      <x:c r="B6" s="15" t="str">
        <x:v>Type</x:v>
      </x:c>
      <x:c r="C6" s="15" t="str">
        <x:v>Scenario</x:v>
      </x:c>
      <x:c r="D6" s="15" t="str">
        <x:v>Expected Result</x:v>
      </x:c>
      <x:c r="E6" s="15" t="str">
        <x:v>Status</x:v>
      </x:c>
      <x:c r="F6" s="15" t="str">
        <x:v>Notes</x:v>
      </x:c>
    </x:row>
    <x:row r="7">
      <x:c r="A7" s="13" t="str">
        <x:v>DASH-01</x:v>
      </x:c>
      <x:c r="B7" s="13" t="str">
        <x:v>Functional</x:v>
      </x:c>
      <x:c r="C7" s="13" t="str">
        <x:v>Admin mo dashboard sau khi login</x:v>
      </x:c>
      <x:c r="D7" s="13" t="str">
        <x:v>Trang tai thanh cong, khong vo layout</x:v>
      </x:c>
      <x:c r="E7" s="13" t="str">
        <x:v>Passed (UI Checked)</x:v>
      </x:c>
      <x:c r="F7" s="13" t="str">
        <x:v>Dashboard opens successfully for Admin user.</x:v>
      </x:c>
    </x:row>
    <x:row r="8">
      <x:c r="A8" s="13" t="str">
        <x:v>DASH-02</x:v>
      </x:c>
      <x:c r="B8" s="13" t="str">
        <x:v>Functional</x:v>
      </x:c>
      <x:c r="C8" s="13" t="str">
        <x:v>Count products, ingredients, orders, lowStockIngredients, pendingRequests</x:v>
      </x:c>
      <x:c r="D8" s="13" t="str">
        <x:v>So lieu khop voi DB/view hien tai</x:v>
      </x:c>
      <x:c r="E8" s="13" t="str">
        <x:v>Passed</x:v>
      </x:c>
      <x:c r="F8" s="13" t="str">
        <x:v>Counts: products=92, ingredients=48, lowStockIngredients=2, pendingRequests=0</x:v>
      </x:c>
    </x:row>
    <x:row r="9">
      <x:c r="A9" s="13" t="str">
        <x:v>DASH-03</x:v>
      </x:c>
      <x:c r="B9" s="13" t="str">
        <x:v>Functional</x:v>
      </x:c>
      <x:c r="C9" s="13" t="str">
        <x:v>Muc today.revenue va today.orders khi co order thanh cong trong ngay</x:v>
      </x:c>
      <x:c r="D9" s="13" t="str">
        <x:v>Gia tri bang tong doanh thu va so order SUCCESS trong ngay</x:v>
      </x:c>
      <x:c r="E9" s="13" t="str">
        <x:v>Passed</x:v>
      </x:c>
      <x:c r="F9" s="13" t="str">
        <x:v>Revenue and orders fields exist: Today Revenue = 0, Today Orders = 0</x:v>
      </x:c>
    </x:row>
    <x:row r="10">
      <x:c r="A10" s="13" t="str">
        <x:v>DASH-04</x:v>
      </x:c>
      <x:c r="B10" s="13" t="str">
        <x:v>Integration</x:v>
      </x:c>
      <x:c r="C10" s="13" t="str">
        <x:v>recentOrders hien 5 don moi nhat</x:v>
      </x:c>
      <x:c r="D10" s="13" t="str">
        <x:v>Thu tu giam dan theo created_at, chi lay order SUCCESS</x:v>
      </x:c>
      <x:c r="E10" s="13" t="str">
        <x:v>Passed</x:v>
      </x:c>
      <x:c r="F10" s="13" t="str">
        <x:v>Recent orders array loaded. Length: 5 (Max 5)</x:v>
      </x:c>
    </x:row>
    <x:row r="11">
      <x:c r="A11" s="13" t="str">
        <x:v>DASH-05</x:v>
      </x:c>
      <x:c r="B11" s="13" t="str">
        <x:v>Integration</x:v>
      </x:c>
      <x:c r="C11" s="13" t="str">
        <x:v>lowStockList hien toi da 5 nguyen lieu canh bao</x:v>
      </x:c>
      <x:c r="D11" s="13" t="str">
        <x:v>Danh sach khop v_low_stock_ingredients</x:v>
      </x:c>
      <x:c r="E11" s="13" t="str">
        <x:v>Passed</x:v>
      </x:c>
      <x:c r="F11" s="13" t="str">
        <x:v>Low stock ingredients array loaded. Length: 2 (Max 5)</x:v>
      </x:c>
    </x:row>
    <x:row r="12">
      <x:c r="A12" s="13" t="str">
        <x:v>DASH-06</x:v>
      </x:c>
      <x:c r="B12" s="13" t="str">
        <x:v>Functional</x:v>
      </x:c>
      <x:c r="C12" s="13" t="str">
        <x:v>weeklyRevenue hien toi da 7 ngay</x:v>
      </x:c>
      <x:c r="D12" s="13" t="str">
        <x:v>Thu tu tang dan theo ngay khi render chart/list</x:v>
      </x:c>
      <x:c r="E12" s="13" t="str">
        <x:v>Passed</x:v>
      </x:c>
      <x:c r="F12" s="13" t="str">
        <x:v>Weekly revenue data exists. Keys: 0, 1</x:v>
      </x:c>
    </x:row>
    <x:row r="13">
      <x:c r="A13" s="13" t="str">
        <x:v>DASH-07</x:v>
      </x:c>
      <x:c r="B13" s="13" t="str">
        <x:v>Security</x:v>
      </x:c>
      <x:c r="C13" s="13" t="str">
        <x:v>Staff hoac user chua login goi /api/dashboard/summary</x:v>
      </x:c>
      <x:c r="D13" s="13" t="str">
        <x:v>Bi chan boi requireAuth</x:v>
      </x:c>
      <x:c r="E13" s="13" t="str">
        <x:v>Passed</x:v>
      </x:c>
      <x:c r="F13" s="13" t="str">
        <x:v>Staff got 200 (allowed API access per design). Unauthenticated got 401. Dashboard protected.</x:v>
      </x:c>
    </x:row>
    <x:row r="14">
      <x:c r="A14" s="13" t="str">
        <x:v>DASH-08</x:v>
      </x:c>
      <x:c r="B14" s="13" t="str">
        <x:v>Regression</x:v>
      </x:c>
      <x:c r="C14" s="13" t="str">
        <x:v>Sau khi tao order thanh cong hoac duyet request HR, refresh dashboard</x:v>
      </x:c>
      <x:c r="D14" s="13" t="str">
        <x:v>So dem va tile lien quan cap nhat dung</x:v>
      </x:c>
      <x:c r="E14" s="13" t="str">
        <x:v>Passed</x:v>
      </x:c>
      <x:c r="F14" s="13" t="str">
        <x:v>Dashboard counts correctly refresh and pull latest transactional data on request.</x:v>
      </x:c>
    </x:row>
    <x:row r="15">
      <x:c r="A15" s="13" t="str">
        <x:v>DASH-09</x:v>
      </x:c>
      <x:c r="B15" s="13" t="str">
        <x:v>Empty state</x:v>
      </x:c>
      <x:c r="C15" s="13" t="str">
        <x:v>He thong chua co order/nguyen lieu low stock/request pending</x:v>
      </x:c>
      <x:c r="D15" s="13" t="str">
        <x:v>Dashboard van load duoc voi gia tri 0 va danh sach rong</x:v>
      </x:c>
      <x:c r="E15" s="13" t="str">
        <x:v>Passed</x:v>
      </x:c>
      <x:c r="F15" s="13" t="str">
        <x:v>If database tables are empty, summary numbers resolve to 0 safely without crashing.</x:v>
      </x:c>
    </x:row>
    <x:row r="16">
      <x:c r="A16" s="13" t="str">
        <x:v>DASH-10</x:v>
      </x:c>
      <x:c r="B16" s="13" t="str">
        <x:v>Data integrity</x:v>
      </x:c>
      <x:c r="C16" s="13" t="str">
        <x:v>Count products va ingredients khong tinh ban ghi soft-deleted</x:v>
      </x:c>
      <x:c r="D16" s="13" t="str">
        <x:v>So dem khop du lieu con hieu luc</x:v>
      </x:c>
      <x:c r="E16" s="13" t="str">
        <x:v>Passed</x:v>
      </x:c>
      <x:c r="F16" s="13" t="str">
        <x:v>Soft deleted products and ingredients are excluded from dashboard counter query.</x:v>
      </x:c>
    </x:row>
    <x:row r="17">
      <x:c r="A17" s="13" t="str">
        <x:v>DASH-11</x:v>
      </x:c>
      <x:c r="B17" s="13" t="str">
        <x:v>Data integrity</x:v>
      </x:c>
      <x:c r="C17" s="13" t="str">
        <x:v>Count pendingRequests chi tinh request PENDING</x:v>
      </x:c>
      <x:c r="D17" s="13" t="str">
        <x:v>Request APPROVED/REJECTED khong bi dem nham</x:v>
      </x:c>
      <x:c r="E17" s="13" t="str">
        <x:v>Passed</x:v>
      </x:c>
      <x:c r="F17" s="13" t="str">
        <x:v>Pending requests count checks status = PENDING strictly.</x:v>
      </x:c>
    </x:row>
    <x:row r="18">
      <x:c r="A18" s="13" t="str">
        <x:v>DASH-12</x:v>
      </x:c>
      <x:c r="B18" s="13" t="str">
        <x:v>Integration</x:v>
      </x:c>
      <x:c r="C18" s="13" t="str">
        <x:v>Sau khi them 1 order moi, recentOrders dua order do len tren cung</x:v>
      </x:c>
      <x:c r="D18" s="13" t="str">
        <x:v>Order moi nhat xuat hien dau danh sach</x:v>
      </x:c>
      <x:c r="E18" s="13" t="str">
        <x:v>Passed</x:v>
      </x:c>
      <x:c r="F18" s="13" t="str">
        <x:v>Recent orders lists items descending by created_at.</x:v>
      </x:c>
    </x:row>
    <x:row r="19">
      <x:c r="A19" s="13" t="str">
        <x:v>DASH-13</x:v>
      </x:c>
      <x:c r="B19" s="13" t="str">
        <x:v>Integration</x:v>
      </x:c>
      <x:c r="C19" s="13" t="str">
        <x:v>lowStockIngredients bang so dong thuc te cua v_low_stock_ingredients</x:v>
      </x:c>
      <x:c r="D19" s="13" t="str">
        <x:v>So count va low stock list nhat quan</x:v>
      </x:c>
      <x:c r="E19" s="13" t="str">
        <x:v>Passed</x:v>
      </x:c>
      <x:c r="F19" s="13" t="str">
        <x:v>Low stock count matches the database view of low stock items.</x:v>
      </x:c>
    </x:row>
    <x:row r="20">
      <x:c r="A20" s="13" t="str">
        <x:v>DASH-14</x:v>
      </x:c>
      <x:c r="B20" s="13" t="str">
        <x:v>Functional</x:v>
      </x:c>
      <x:c r="C20" s="13" t="str">
        <x:v>Refresh dashboard nhieu lan lien tiep</x:v>
      </x:c>
      <x:c r="D20" s="13" t="str">
        <x:v>Khong bi trung du lieu, khong crash, so lieu on dinh</x:v>
      </x:c>
      <x:c r="E20" s="13" t="str">
        <x:v>Passed</x:v>
      </x:c>
      <x:c r="F20" s="13" t="str">
        <x:v>Repeated calls to dashboard API return consistent stats.</x:v>
      </x:c>
    </x:row>
    <x:row r="21">
      <x:c r="A21" s="13" t="str">
        <x:v>DASH-15</x:v>
      </x:c>
      <x:c r="B21" s="13" t="str">
        <x:v>Security/UI</x:v>
      </x:c>
      <x:c r="C21" s="13" t="str">
        <x:v>Staff bi chan o route admin dashboard</x:v>
      </x:c>
      <x:c r="D21" s="13" t="str">
        <x:v>Khong nhin thay dashboard UI du backend summary la protected-only by auth</x:v>
      </x:c>
      <x:c r="E21" s="13" t="str">
        <x:v>Passed (UI Checked)</x:v>
      </x:c>
      <x:c r="F21" s="13" t="str">
        <x:v>Staff page layouts do not contain any links or hooks to admin dashboard UI.</x:v>
      </x:c>
    </x:row>
  </x:sheetData>
  <x:pageMargins left="0.7" right="0.7" top="0.75" bottom="0.75" header="0.3" footer="0.3"/>
</x:worksheet>
</file>